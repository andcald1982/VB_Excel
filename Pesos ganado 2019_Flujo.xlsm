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uar\Dropbox\Admin El Ocaso 2018\"/>
    </mc:Choice>
  </mc:AlternateContent>
  <xr:revisionPtr revIDLastSave="0" documentId="13_ncr:1_{0AEF8D48-1C73-434A-9B5C-118EF2FEFA24}" xr6:coauthVersionLast="45" xr6:coauthVersionMax="45" xr10:uidLastSave="{00000000-0000-0000-0000-000000000000}"/>
  <bookViews>
    <workbookView xWindow="-28920" yWindow="-120" windowWidth="29040" windowHeight="15990" tabRatio="936" activeTab="18" xr2:uid="{00000000-000D-0000-FFFF-FFFF00000000}"/>
  </bookViews>
  <sheets>
    <sheet name="Vendido" sheetId="55" r:id="rId1"/>
    <sheet name="Resumen" sheetId="54" r:id="rId2"/>
    <sheet name="8501-8530" sheetId="34" r:id="rId3"/>
    <sheet name="51Verdun" sheetId="39" r:id="rId4"/>
    <sheet name="9801-9844" sheetId="58" r:id="rId5"/>
    <sheet name="8562-81212" sheetId="40" r:id="rId6"/>
    <sheet name="41M.L Cumbre" sheetId="43" r:id="rId7"/>
    <sheet name="8561-81207" sheetId="62" r:id="rId8"/>
    <sheet name="Sobran" sheetId="32" r:id="rId9"/>
    <sheet name="8421-8475" sheetId="27" r:id="rId10"/>
    <sheet name="31M.C" sheetId="48" r:id="rId11"/>
    <sheet name="8401-8419" sheetId="10" r:id="rId12"/>
    <sheet name="57M.L" sheetId="33" r:id="rId13"/>
    <sheet name="17NV" sheetId="60" r:id="rId14"/>
    <sheet name="32NV" sheetId="30" r:id="rId15"/>
    <sheet name="15M.L" sheetId="47" r:id="rId16"/>
    <sheet name="Cria20H.L" sheetId="21" r:id="rId17"/>
    <sheet name="9201-9234" sheetId="26" r:id="rId18"/>
    <sheet name="8479-84103" sheetId="11" r:id="rId19"/>
    <sheet name="8615-8675" sheetId="12" r:id="rId20"/>
    <sheet name="9328-9350Carr" sheetId="24" r:id="rId21"/>
    <sheet name="9301-9327" sheetId="25" r:id="rId22"/>
    <sheet name="Cria30ML" sheetId="13" r:id="rId23"/>
    <sheet name="9601-9637" sheetId="42" r:id="rId24"/>
    <sheet name="8613-8654" sheetId="41" r:id="rId25"/>
    <sheet name="20H.L" sheetId="49" r:id="rId26"/>
    <sheet name="9701-9745" sheetId="59" r:id="rId27"/>
    <sheet name="9845-9864" sheetId="57" r:id="rId28"/>
    <sheet name="9901-9921" sheetId="61" r:id="rId29"/>
  </sheets>
  <definedNames>
    <definedName name="_xlnm._FilterDatabase" localSheetId="3" hidden="1">'51Verdun'!$A$1:$G$57</definedName>
    <definedName name="_xlnm._FilterDatabase" localSheetId="12" hidden="1">'57M.L'!$A$1:$H$54</definedName>
    <definedName name="_xlnm._FilterDatabase" localSheetId="0" hidden="1">Vendido!$B$1:$F$31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43" l="1"/>
  <c r="D2" i="43"/>
  <c r="H47" i="43"/>
  <c r="H46" i="43"/>
  <c r="H45" i="43"/>
  <c r="H43" i="43"/>
  <c r="H41" i="43"/>
  <c r="H40" i="43"/>
  <c r="H39" i="43"/>
  <c r="H37" i="43"/>
  <c r="D1" i="43"/>
  <c r="H35" i="43"/>
  <c r="H34" i="43"/>
  <c r="H33" i="43"/>
  <c r="H32" i="43"/>
  <c r="H2" i="62" l="1"/>
  <c r="F2" i="62"/>
  <c r="F3" i="62" s="1"/>
  <c r="E2" i="62"/>
  <c r="E3" i="62" s="1"/>
  <c r="D2" i="62"/>
  <c r="H1" i="62"/>
  <c r="F1" i="62"/>
  <c r="E1" i="62"/>
  <c r="D1" i="62"/>
  <c r="D2" i="40"/>
  <c r="D3" i="40" s="1"/>
  <c r="E2" i="40"/>
  <c r="I35" i="40"/>
  <c r="I34" i="40"/>
  <c r="I33" i="40"/>
  <c r="I32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7" i="40"/>
  <c r="I15" i="40"/>
  <c r="I14" i="40"/>
  <c r="I13" i="40"/>
  <c r="I12" i="40"/>
  <c r="I11" i="40"/>
  <c r="I10" i="40"/>
  <c r="I9" i="40"/>
  <c r="I8" i="40"/>
  <c r="D1" i="40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7" i="43"/>
  <c r="H8" i="43"/>
  <c r="H4" i="62" l="1"/>
  <c r="H5" i="62" s="1"/>
  <c r="D3" i="62"/>
  <c r="H3" i="62"/>
  <c r="D4" i="34"/>
  <c r="E4" i="34"/>
  <c r="F3" i="34"/>
  <c r="E3" i="34"/>
  <c r="D3" i="34"/>
  <c r="I24" i="34"/>
  <c r="D5" i="39"/>
  <c r="D4" i="39"/>
  <c r="D3" i="39"/>
  <c r="E3" i="39"/>
  <c r="H32" i="39"/>
  <c r="E1" i="39"/>
  <c r="E2" i="39"/>
  <c r="D2" i="39"/>
  <c r="D5" i="58"/>
  <c r="D4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C10" i="58"/>
  <c r="C9" i="58"/>
  <c r="C8" i="58"/>
  <c r="C7" i="58"/>
  <c r="D2" i="58"/>
  <c r="D1" i="58"/>
  <c r="H53" i="39"/>
  <c r="H52" i="39"/>
  <c r="H51" i="39"/>
  <c r="H50" i="39"/>
  <c r="H49" i="39"/>
  <c r="H48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3" i="39"/>
  <c r="H31" i="39"/>
  <c r="H30" i="39"/>
  <c r="H29" i="39"/>
  <c r="H28" i="39"/>
  <c r="H27" i="39"/>
  <c r="H26" i="39"/>
  <c r="H25" i="39"/>
  <c r="H24" i="39"/>
  <c r="H23" i="39"/>
  <c r="H22" i="39"/>
  <c r="H21" i="39"/>
  <c r="H20" i="39"/>
  <c r="H19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D1" i="39"/>
  <c r="D3" i="58" l="1"/>
  <c r="H35" i="34"/>
  <c r="H34" i="34"/>
  <c r="H33" i="34"/>
  <c r="H32" i="34"/>
  <c r="H31" i="34"/>
  <c r="H30" i="34"/>
  <c r="H29" i="34"/>
  <c r="H28" i="34"/>
  <c r="H27" i="34"/>
  <c r="H26" i="34"/>
  <c r="H25" i="34"/>
  <c r="H24" i="34"/>
  <c r="H23" i="34"/>
  <c r="H22" i="34"/>
  <c r="H21" i="34"/>
  <c r="H20" i="34"/>
  <c r="H19" i="34"/>
  <c r="H18" i="34"/>
  <c r="H17" i="34"/>
  <c r="H16" i="34"/>
  <c r="H15" i="34"/>
  <c r="H14" i="34"/>
  <c r="H13" i="34"/>
  <c r="H12" i="34"/>
  <c r="H11" i="34"/>
  <c r="H10" i="34"/>
  <c r="H9" i="34"/>
  <c r="H8" i="34"/>
  <c r="D2" i="34"/>
  <c r="D1" i="34"/>
  <c r="F2" i="61" l="1"/>
  <c r="E2" i="61"/>
  <c r="D2" i="61"/>
  <c r="D3" i="61" s="1"/>
  <c r="F1" i="61"/>
  <c r="E1" i="61"/>
  <c r="D1" i="61"/>
  <c r="E4" i="61" l="1"/>
  <c r="E5" i="61" s="1"/>
  <c r="F4" i="61"/>
  <c r="F5" i="61" s="1"/>
  <c r="E3" i="61"/>
  <c r="F3" i="61"/>
  <c r="Z33" i="54"/>
  <c r="L30" i="54"/>
  <c r="E30" i="54"/>
  <c r="F30" i="54"/>
  <c r="C30" i="54"/>
  <c r="E28" i="54"/>
  <c r="F28" i="54"/>
  <c r="E29" i="54"/>
  <c r="F29" i="54"/>
  <c r="G30" i="54" l="1"/>
  <c r="G29" i="54"/>
  <c r="G28" i="54"/>
  <c r="D2" i="41"/>
  <c r="D1" i="41"/>
  <c r="D2" i="25"/>
  <c r="D3" i="25" s="1"/>
  <c r="D1" i="25"/>
  <c r="E1" i="40"/>
  <c r="E3" i="40"/>
  <c r="D2" i="11"/>
  <c r="D3" i="11" s="1"/>
  <c r="D1" i="11"/>
  <c r="D2" i="26"/>
  <c r="D3" i="26" s="1"/>
  <c r="D1" i="26"/>
  <c r="D2" i="30"/>
  <c r="D3" i="30" s="1"/>
  <c r="D1" i="30"/>
  <c r="D3" i="60"/>
  <c r="D2" i="60"/>
  <c r="D1" i="60"/>
  <c r="E2" i="33"/>
  <c r="E3" i="33" s="1"/>
  <c r="E1" i="33"/>
  <c r="D2" i="10"/>
  <c r="D3" i="10" s="1"/>
  <c r="D1" i="10"/>
  <c r="F1" i="34"/>
  <c r="D2" i="32"/>
  <c r="D1" i="32"/>
  <c r="D3" i="41" l="1"/>
  <c r="D3" i="32"/>
  <c r="E4" i="54"/>
  <c r="F4" i="54"/>
  <c r="E5" i="54"/>
  <c r="F5" i="54"/>
  <c r="G5" i="54" s="1"/>
  <c r="E6" i="54"/>
  <c r="F6" i="54"/>
  <c r="E7" i="54"/>
  <c r="F7" i="54"/>
  <c r="E8" i="54"/>
  <c r="F8" i="54"/>
  <c r="E9" i="54"/>
  <c r="F9" i="54"/>
  <c r="G9" i="54" s="1"/>
  <c r="E10" i="54"/>
  <c r="F10" i="54"/>
  <c r="E11" i="54"/>
  <c r="F11" i="54"/>
  <c r="E12" i="54"/>
  <c r="F12" i="54"/>
  <c r="E13" i="54"/>
  <c r="F13" i="54"/>
  <c r="E14" i="54"/>
  <c r="G14" i="54" s="1"/>
  <c r="F14" i="54"/>
  <c r="E15" i="54"/>
  <c r="F15" i="54"/>
  <c r="E16" i="54"/>
  <c r="F16" i="54"/>
  <c r="E17" i="54"/>
  <c r="F17" i="54"/>
  <c r="E18" i="54"/>
  <c r="G18" i="54" s="1"/>
  <c r="F18" i="54"/>
  <c r="E19" i="54"/>
  <c r="F19" i="54"/>
  <c r="E20" i="54"/>
  <c r="F20" i="54"/>
  <c r="E21" i="54"/>
  <c r="F21" i="54"/>
  <c r="E22" i="54"/>
  <c r="F22" i="54"/>
  <c r="E23" i="54"/>
  <c r="F23" i="54"/>
  <c r="E24" i="54"/>
  <c r="F24" i="54"/>
  <c r="E25" i="54"/>
  <c r="F25" i="54"/>
  <c r="E26" i="54"/>
  <c r="F26" i="54"/>
  <c r="E27" i="54"/>
  <c r="F27" i="54"/>
  <c r="G17" i="54" l="1"/>
  <c r="G16" i="54"/>
  <c r="G24" i="54"/>
  <c r="G22" i="54"/>
  <c r="G25" i="54"/>
  <c r="G21" i="54"/>
  <c r="G12" i="54"/>
  <c r="G8" i="54"/>
  <c r="G6" i="54"/>
  <c r="G26" i="54"/>
  <c r="G10" i="54"/>
  <c r="G20" i="54"/>
  <c r="G13" i="54"/>
  <c r="G4" i="54"/>
  <c r="G27" i="54"/>
  <c r="G19" i="54"/>
  <c r="G11" i="54"/>
  <c r="G23" i="54"/>
  <c r="G15" i="54"/>
  <c r="G7" i="54"/>
  <c r="E2" i="60"/>
  <c r="E3" i="60" s="1"/>
  <c r="E1" i="60"/>
  <c r="F2" i="59" l="1"/>
  <c r="F3" i="59" s="1"/>
  <c r="E2" i="59"/>
  <c r="D2" i="59"/>
  <c r="D3" i="59" s="1"/>
  <c r="F1" i="59"/>
  <c r="E1" i="59"/>
  <c r="D1" i="59"/>
  <c r="E3" i="58"/>
  <c r="E2" i="58"/>
  <c r="E1" i="58"/>
  <c r="G2" i="58"/>
  <c r="F2" i="58"/>
  <c r="F3" i="58" s="1"/>
  <c r="G1" i="58"/>
  <c r="F1" i="58"/>
  <c r="F4" i="58" s="1"/>
  <c r="F5" i="58" s="1"/>
  <c r="F2" i="57"/>
  <c r="F3" i="57" s="1"/>
  <c r="E2" i="57"/>
  <c r="E3" i="57" s="1"/>
  <c r="D2" i="57"/>
  <c r="D3" i="57" s="1"/>
  <c r="F1" i="57"/>
  <c r="E1" i="57"/>
  <c r="E4" i="57" s="1"/>
  <c r="E5" i="57" s="1"/>
  <c r="D1" i="57"/>
  <c r="E4" i="59" l="1"/>
  <c r="E5" i="59" s="1"/>
  <c r="F4" i="59"/>
  <c r="F5" i="59" s="1"/>
  <c r="E3" i="59"/>
  <c r="G4" i="58"/>
  <c r="G5" i="58" s="1"/>
  <c r="G3" i="58"/>
  <c r="F4" i="57"/>
  <c r="F5" i="57" s="1"/>
  <c r="E1" i="55"/>
  <c r="E2" i="55" l="1"/>
  <c r="E3" i="55" l="1"/>
  <c r="L36" i="54" l="1"/>
  <c r="L38" i="54"/>
  <c r="L39" i="54" s="1"/>
  <c r="P33" i="54" s="1"/>
  <c r="L13" i="54"/>
  <c r="N33" i="54" l="1"/>
  <c r="T33" i="54"/>
  <c r="X33" i="54"/>
  <c r="W33" i="54"/>
  <c r="Q33" i="54"/>
  <c r="U33" i="54"/>
  <c r="Y33" i="54"/>
  <c r="R33" i="54"/>
  <c r="V33" i="54"/>
  <c r="S33" i="54"/>
  <c r="M33" i="54"/>
  <c r="O33" i="54"/>
  <c r="L26" i="54" l="1"/>
  <c r="AV28" i="54" l="1"/>
  <c r="AU28" i="54"/>
  <c r="AT28" i="54"/>
  <c r="AS28" i="54"/>
  <c r="AR28" i="54"/>
  <c r="AQ28" i="54"/>
  <c r="AP28" i="54"/>
  <c r="AO28" i="54"/>
  <c r="AN28" i="54"/>
  <c r="AM28" i="54"/>
  <c r="AL28" i="54"/>
  <c r="AK28" i="54"/>
  <c r="AJ28" i="54"/>
  <c r="AI28" i="54"/>
  <c r="AH28" i="54"/>
  <c r="AG28" i="54"/>
  <c r="AF28" i="54"/>
  <c r="AE28" i="54"/>
  <c r="AD28" i="54"/>
  <c r="AC28" i="54"/>
  <c r="AB28" i="54"/>
  <c r="AA28" i="54"/>
  <c r="Z28" i="54"/>
  <c r="Y28" i="54"/>
  <c r="X28" i="54"/>
  <c r="W28" i="54"/>
  <c r="V28" i="54"/>
  <c r="U28" i="54"/>
  <c r="T28" i="54"/>
  <c r="S28" i="54"/>
  <c r="R28" i="54"/>
  <c r="Q28" i="54"/>
  <c r="P28" i="54"/>
  <c r="O28" i="54"/>
  <c r="N28" i="54"/>
  <c r="M28" i="54"/>
  <c r="L28" i="54"/>
  <c r="AC26" i="54"/>
  <c r="AA26" i="54"/>
  <c r="Z26" i="54"/>
  <c r="W26" i="54"/>
  <c r="V26" i="54"/>
  <c r="S26" i="54"/>
  <c r="P26" i="54"/>
  <c r="O26" i="54"/>
  <c r="N26" i="54"/>
  <c r="M26" i="54"/>
  <c r="AA27" i="54"/>
  <c r="W27" i="54"/>
  <c r="S27" i="54"/>
  <c r="O27" i="54"/>
  <c r="P27" i="54"/>
  <c r="R26" i="54"/>
  <c r="O29" i="54" l="1"/>
  <c r="N27" i="54"/>
  <c r="N29" i="54" s="1"/>
  <c r="U27" i="54"/>
  <c r="Z27" i="54"/>
  <c r="Z29" i="54" s="1"/>
  <c r="V27" i="54"/>
  <c r="V29" i="54" s="1"/>
  <c r="AG27" i="54"/>
  <c r="AG26" i="54"/>
  <c r="X26" i="54"/>
  <c r="M27" i="54"/>
  <c r="M29" i="54" s="1"/>
  <c r="P29" i="54"/>
  <c r="AA29" i="54"/>
  <c r="AO27" i="54"/>
  <c r="AO26" i="54"/>
  <c r="U26" i="54"/>
  <c r="AC27" i="54"/>
  <c r="AC29" i="54" s="1"/>
  <c r="AK27" i="54"/>
  <c r="AK26" i="54"/>
  <c r="AS27" i="54"/>
  <c r="AS26" i="54"/>
  <c r="W29" i="54"/>
  <c r="S29" i="54"/>
  <c r="AO29" i="54" l="1"/>
  <c r="AK29" i="54"/>
  <c r="AG29" i="54"/>
  <c r="AH26" i="54"/>
  <c r="AH27" i="54"/>
  <c r="R27" i="54"/>
  <c r="R29" i="54" s="1"/>
  <c r="AE26" i="54"/>
  <c r="AR27" i="54"/>
  <c r="AR26" i="54"/>
  <c r="AF27" i="54"/>
  <c r="AF26" i="54"/>
  <c r="Y26" i="54"/>
  <c r="Q26" i="54"/>
  <c r="AB26" i="54"/>
  <c r="AS29" i="54"/>
  <c r="AU27" i="54"/>
  <c r="AU26" i="54"/>
  <c r="T26" i="54"/>
  <c r="U29" i="54"/>
  <c r="X27" i="54"/>
  <c r="X29" i="54" s="1"/>
  <c r="AN27" i="54"/>
  <c r="AN26" i="54"/>
  <c r="AM27" i="54"/>
  <c r="AM26" i="54"/>
  <c r="D1" i="24"/>
  <c r="AU29" i="54" l="1"/>
  <c r="AR29" i="54"/>
  <c r="AF29" i="54"/>
  <c r="T27" i="54"/>
  <c r="T29" i="54" s="1"/>
  <c r="Q27" i="54"/>
  <c r="Q29" i="54" s="1"/>
  <c r="AJ27" i="54"/>
  <c r="AJ26" i="54"/>
  <c r="AM29" i="54"/>
  <c r="AP26" i="54"/>
  <c r="AP27" i="54"/>
  <c r="AB27" i="54"/>
  <c r="AB29" i="54" s="1"/>
  <c r="L27" i="54"/>
  <c r="L29" i="54" s="1"/>
  <c r="L31" i="54" s="1"/>
  <c r="M31" i="54" s="1"/>
  <c r="N31" i="54" s="1"/>
  <c r="O31" i="54" s="1"/>
  <c r="P31" i="54" s="1"/>
  <c r="Q31" i="54" s="1"/>
  <c r="R31" i="54" s="1"/>
  <c r="S31" i="54" s="1"/>
  <c r="T31" i="54" s="1"/>
  <c r="U31" i="54" s="1"/>
  <c r="V31" i="54" s="1"/>
  <c r="W31" i="54" s="1"/>
  <c r="X31" i="54" s="1"/>
  <c r="Y31" i="54" s="1"/>
  <c r="Z31" i="54" s="1"/>
  <c r="AA31" i="54" s="1"/>
  <c r="AB31" i="54" s="1"/>
  <c r="AC31" i="54" s="1"/>
  <c r="Y27" i="54"/>
  <c r="Y29" i="54" s="1"/>
  <c r="AN29" i="54"/>
  <c r="AE27" i="54"/>
  <c r="AE29" i="54" s="1"/>
  <c r="AH29" i="54"/>
  <c r="AP29" i="54" l="1"/>
  <c r="AQ27" i="54"/>
  <c r="AQ26" i="54"/>
  <c r="AI27" i="54"/>
  <c r="AI26" i="54"/>
  <c r="AT26" i="54"/>
  <c r="AT27" i="54"/>
  <c r="AJ29" i="54"/>
  <c r="AL26" i="54"/>
  <c r="AL27" i="54"/>
  <c r="AD26" i="54"/>
  <c r="F1" i="33"/>
  <c r="L34" i="54" l="1"/>
  <c r="M34" i="54" s="1"/>
  <c r="N34" i="54" s="1"/>
  <c r="O34" i="54" s="1"/>
  <c r="P34" i="54" s="1"/>
  <c r="Q34" i="54" s="1"/>
  <c r="R34" i="54" s="1"/>
  <c r="S34" i="54" s="1"/>
  <c r="T34" i="54" s="1"/>
  <c r="U34" i="54" s="1"/>
  <c r="V34" i="54" s="1"/>
  <c r="W34" i="54" s="1"/>
  <c r="X34" i="54" s="1"/>
  <c r="Y34" i="54" s="1"/>
  <c r="AL29" i="54"/>
  <c r="AQ29" i="54"/>
  <c r="AT29" i="54"/>
  <c r="AD27" i="54"/>
  <c r="AD29" i="54" s="1"/>
  <c r="AD31" i="54" s="1"/>
  <c r="AE31" i="54" s="1"/>
  <c r="AF31" i="54" s="1"/>
  <c r="AG31" i="54" s="1"/>
  <c r="AH31" i="54" s="1"/>
  <c r="AI31" i="54" s="1"/>
  <c r="AJ31" i="54" s="1"/>
  <c r="AK31" i="54" s="1"/>
  <c r="AL31" i="54" s="1"/>
  <c r="AM31" i="54" s="1"/>
  <c r="AN31" i="54" s="1"/>
  <c r="AO31" i="54" s="1"/>
  <c r="AP31" i="54" s="1"/>
  <c r="AQ31" i="54" s="1"/>
  <c r="AR31" i="54" s="1"/>
  <c r="AS31" i="54" s="1"/>
  <c r="AT31" i="54" s="1"/>
  <c r="AU31" i="54" s="1"/>
  <c r="AI29" i="54"/>
  <c r="H1" i="10"/>
  <c r="D1" i="48"/>
  <c r="E2" i="30"/>
  <c r="E3" i="30" s="1"/>
  <c r="D2" i="48"/>
  <c r="F2" i="49"/>
  <c r="F3" i="49" s="1"/>
  <c r="E2" i="49"/>
  <c r="D2" i="49"/>
  <c r="D3" i="49" s="1"/>
  <c r="F1" i="49"/>
  <c r="E1" i="49"/>
  <c r="D1" i="49"/>
  <c r="E1" i="34"/>
  <c r="E2" i="34"/>
  <c r="D5" i="34" s="1"/>
  <c r="E4" i="49" l="1"/>
  <c r="E5" i="49" s="1"/>
  <c r="Z34" i="54"/>
  <c r="AA34" i="54" s="1"/>
  <c r="AB34" i="54" s="1"/>
  <c r="AC34" i="54" s="1"/>
  <c r="AD34" i="54" s="1"/>
  <c r="AE34" i="54" s="1"/>
  <c r="AF34" i="54" s="1"/>
  <c r="AG34" i="54" s="1"/>
  <c r="AH34" i="54" s="1"/>
  <c r="AI34" i="54" s="1"/>
  <c r="AJ34" i="54" s="1"/>
  <c r="AK34" i="54" s="1"/>
  <c r="AL34" i="54" s="1"/>
  <c r="AM34" i="54" s="1"/>
  <c r="AN34" i="54" s="1"/>
  <c r="AO34" i="54" s="1"/>
  <c r="AP34" i="54" s="1"/>
  <c r="AQ34" i="54" s="1"/>
  <c r="AR34" i="54" s="1"/>
  <c r="AS34" i="54" s="1"/>
  <c r="AT34" i="54" s="1"/>
  <c r="AU34" i="54" s="1"/>
  <c r="AV27" i="54"/>
  <c r="AV26" i="54"/>
  <c r="F4" i="49"/>
  <c r="F5" i="49" s="1"/>
  <c r="E3" i="49"/>
  <c r="AV29" i="54" l="1"/>
  <c r="AV31" i="54" s="1"/>
  <c r="AW31" i="54" s="1"/>
  <c r="AX31" i="54" s="1"/>
  <c r="AY31" i="54" s="1"/>
  <c r="AZ31" i="54" s="1"/>
  <c r="BA31" i="54" s="1"/>
  <c r="BB31" i="54" s="1"/>
  <c r="BC31" i="54" s="1"/>
  <c r="BD31" i="54" s="1"/>
  <c r="BE31" i="54" s="1"/>
  <c r="BF31" i="54" s="1"/>
  <c r="BG31" i="54" s="1"/>
  <c r="BH31" i="54" s="1"/>
  <c r="BI31" i="54" s="1"/>
  <c r="F2" i="48"/>
  <c r="E2" i="48"/>
  <c r="D3" i="48"/>
  <c r="F1" i="48"/>
  <c r="E1" i="48"/>
  <c r="F2" i="47"/>
  <c r="E2" i="47"/>
  <c r="E3" i="47" s="1"/>
  <c r="D2" i="47"/>
  <c r="D3" i="47" s="1"/>
  <c r="F1" i="47"/>
  <c r="E1" i="47"/>
  <c r="D1" i="47"/>
  <c r="E1" i="43"/>
  <c r="D1" i="42"/>
  <c r="D2" i="42"/>
  <c r="D3" i="42" s="1"/>
  <c r="AV34" i="54" l="1"/>
  <c r="AW34" i="54" s="1"/>
  <c r="AX34" i="54" s="1"/>
  <c r="AY34" i="54" s="1"/>
  <c r="AZ34" i="54" s="1"/>
  <c r="BA34" i="54" s="1"/>
  <c r="BB34" i="54" s="1"/>
  <c r="BC34" i="54" s="1"/>
  <c r="BD34" i="54" s="1"/>
  <c r="BE34" i="54" s="1"/>
  <c r="BF34" i="54" s="1"/>
  <c r="BG34" i="54" s="1"/>
  <c r="BH34" i="54" s="1"/>
  <c r="BI34" i="54" s="1"/>
  <c r="E4" i="47"/>
  <c r="E5" i="47" s="1"/>
  <c r="E4" i="48"/>
  <c r="E5" i="48" s="1"/>
  <c r="F4" i="48"/>
  <c r="F5" i="48" s="1"/>
  <c r="F4" i="47"/>
  <c r="F5" i="47" s="1"/>
  <c r="E3" i="48"/>
  <c r="F3" i="48"/>
  <c r="F3" i="47"/>
  <c r="F1" i="26"/>
  <c r="G2" i="43" l="1"/>
  <c r="F2" i="43"/>
  <c r="F3" i="43" s="1"/>
  <c r="E2" i="43"/>
  <c r="E3" i="43" s="1"/>
  <c r="G1" i="43"/>
  <c r="F1" i="43"/>
  <c r="F2" i="42"/>
  <c r="E2" i="42"/>
  <c r="E3" i="42" s="1"/>
  <c r="F1" i="42"/>
  <c r="E1" i="42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7" i="41"/>
  <c r="E1" i="41"/>
  <c r="G2" i="41"/>
  <c r="G3" i="41" s="1"/>
  <c r="E2" i="41"/>
  <c r="E3" i="41" s="1"/>
  <c r="G1" i="41"/>
  <c r="H2" i="40"/>
  <c r="F2" i="40"/>
  <c r="F3" i="40" s="1"/>
  <c r="H1" i="40"/>
  <c r="F1" i="40"/>
  <c r="G4" i="43" l="1"/>
  <c r="G5" i="43" s="1"/>
  <c r="F4" i="43"/>
  <c r="F5" i="43" s="1"/>
  <c r="G3" i="43"/>
  <c r="E4" i="42"/>
  <c r="E5" i="42" s="1"/>
  <c r="F4" i="42"/>
  <c r="F5" i="42" s="1"/>
  <c r="F3" i="42"/>
  <c r="G4" i="41"/>
  <c r="G5" i="41" s="1"/>
  <c r="H4" i="40"/>
  <c r="H5" i="40" s="1"/>
  <c r="H3" i="40"/>
  <c r="G2" i="39" l="1"/>
  <c r="G3" i="39" s="1"/>
  <c r="G1" i="39"/>
  <c r="F1" i="39"/>
  <c r="F2" i="34"/>
  <c r="F4" i="39" l="1"/>
  <c r="F5" i="39" s="1"/>
  <c r="G4" i="39"/>
  <c r="G5" i="39" s="1"/>
  <c r="I35" i="34" l="1"/>
  <c r="I34" i="34"/>
  <c r="I33" i="34"/>
  <c r="I32" i="34"/>
  <c r="I31" i="34"/>
  <c r="I30" i="34"/>
  <c r="I29" i="34"/>
  <c r="I28" i="34"/>
  <c r="I27" i="34"/>
  <c r="I26" i="34"/>
  <c r="I25" i="34"/>
  <c r="I23" i="34"/>
  <c r="I22" i="34"/>
  <c r="I21" i="34"/>
  <c r="I20" i="34"/>
  <c r="I19" i="34"/>
  <c r="I18" i="34"/>
  <c r="I17" i="34"/>
  <c r="I16" i="34"/>
  <c r="I15" i="34"/>
  <c r="I14" i="34"/>
  <c r="I13" i="34"/>
  <c r="I12" i="34"/>
  <c r="I11" i="34"/>
  <c r="I10" i="34"/>
  <c r="I9" i="34"/>
  <c r="I8" i="34"/>
  <c r="F8" i="12" l="1"/>
  <c r="G2" i="34" l="1"/>
  <c r="G1" i="34"/>
  <c r="F2" i="33"/>
  <c r="G2" i="32"/>
  <c r="E2" i="32"/>
  <c r="E3" i="32" s="1"/>
  <c r="G1" i="32"/>
  <c r="E1" i="32"/>
  <c r="E1" i="30"/>
  <c r="F3" i="33" l="1"/>
  <c r="E5" i="34"/>
  <c r="G4" i="34"/>
  <c r="G5" i="34" s="1"/>
  <c r="G3" i="34"/>
  <c r="G4" i="32"/>
  <c r="G5" i="32" s="1"/>
  <c r="G3" i="32"/>
  <c r="G2" i="27"/>
  <c r="G3" i="27" s="1"/>
  <c r="E2" i="27"/>
  <c r="G1" i="27"/>
  <c r="E1" i="27"/>
  <c r="E1" i="26"/>
  <c r="F2" i="26"/>
  <c r="E2" i="26"/>
  <c r="E2" i="25"/>
  <c r="E3" i="25" s="1"/>
  <c r="E1" i="25"/>
  <c r="F2" i="24"/>
  <c r="E2" i="24"/>
  <c r="E3" i="24" s="1"/>
  <c r="D2" i="24"/>
  <c r="F1" i="24"/>
  <c r="E1" i="24"/>
  <c r="F2" i="21"/>
  <c r="F3" i="21" s="1"/>
  <c r="E2" i="21"/>
  <c r="E3" i="21" s="1"/>
  <c r="D2" i="21"/>
  <c r="F1" i="21"/>
  <c r="E1" i="21"/>
  <c r="D1" i="21"/>
  <c r="F7" i="12"/>
  <c r="F15" i="12"/>
  <c r="F14" i="12"/>
  <c r="F13" i="12"/>
  <c r="F12" i="12"/>
  <c r="F11" i="12"/>
  <c r="F10" i="12"/>
  <c r="F9" i="12"/>
  <c r="F3" i="26" l="1"/>
  <c r="F4" i="26"/>
  <c r="F5" i="26" s="1"/>
  <c r="D3" i="21"/>
  <c r="E3" i="26"/>
  <c r="D3" i="24"/>
  <c r="E3" i="27"/>
  <c r="G4" i="27"/>
  <c r="G5" i="27" s="1"/>
  <c r="F4" i="24"/>
  <c r="F5" i="24" s="1"/>
  <c r="F3" i="24"/>
  <c r="E4" i="24"/>
  <c r="E5" i="24" s="1"/>
  <c r="F4" i="21"/>
  <c r="F5" i="21" s="1"/>
  <c r="F2" i="13" l="1"/>
  <c r="F3" i="13" s="1"/>
  <c r="E2" i="13"/>
  <c r="E3" i="13" s="1"/>
  <c r="D2" i="13"/>
  <c r="F1" i="13"/>
  <c r="E1" i="13"/>
  <c r="D1" i="13"/>
  <c r="C2" i="12"/>
  <c r="C3" i="12" s="1"/>
  <c r="C1" i="12"/>
  <c r="D4" i="12" s="1"/>
  <c r="D5" i="12" s="1"/>
  <c r="E2" i="12"/>
  <c r="E3" i="12" s="1"/>
  <c r="D2" i="12"/>
  <c r="E1" i="12"/>
  <c r="D1" i="12"/>
  <c r="E2" i="10"/>
  <c r="E3" i="10" s="1"/>
  <c r="E1" i="10"/>
  <c r="H2" i="10"/>
  <c r="G1" i="10"/>
  <c r="F1" i="10"/>
  <c r="G2" i="10"/>
  <c r="F2" i="10"/>
  <c r="F3" i="10" s="1"/>
  <c r="F1" i="11"/>
  <c r="E1" i="11"/>
  <c r="D3" i="13" l="1"/>
  <c r="H3" i="10"/>
  <c r="D3" i="12"/>
  <c r="G3" i="10"/>
  <c r="F4" i="13"/>
  <c r="F5" i="13" s="1"/>
  <c r="E4" i="12"/>
  <c r="E5" i="12" s="1"/>
  <c r="H4" i="10"/>
  <c r="H5" i="10" s="1"/>
  <c r="F2" i="11"/>
  <c r="F3" i="11" s="1"/>
  <c r="E2" i="11"/>
  <c r="E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  <author>Usuario</author>
  </authors>
  <commentList>
    <comment ref="E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  <comment ref="A8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Sin chapeta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  <comment ref="G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  <comment ref="G6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  <comment ref="F6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F6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Aftolimor
CombibacR8
Rayo
Coopersol
A Quemado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Aftolimor
Rayo Vac
Combibac R8
Coopersol
A Quemado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A6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Vienen del lote de Zarzal 30 24/5/19</t>
        </r>
      </text>
    </comment>
    <comment ref="G6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Legacy
Coopersol
Aceite Qdo</t>
        </r>
      </text>
    </comment>
    <comment ref="H6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Aftolimor
Combibac R8
Rayovacune
Coopersol
Aceite Qdo
En La Pangola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F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Aftogan
Combibac R8
Rayolav
Coopersol
A. Quemado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E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Combibac R8
Rayolav
Coopersol
A Quemado</t>
        </r>
      </text>
    </comment>
    <comment ref="F6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Aftolimor
Combibac R8
Rayolav
Coopersol
A Quemado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A6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Los resaltados se pasaron a los 19 de la pangola.</t>
        </r>
      </text>
    </comment>
    <comment ref="D6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Aftolimor
Combibac R8
Rayovacuna
Coopersol
Aceite Qdo
En Malabrigo</t>
        </r>
      </text>
    </comment>
    <comment ref="G6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Aftolimor
Combibac R8
Rayovacuna
Coopersol
Aceite Qdo
En Malabrigo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G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4/6/19
Aftolimor
CombibacR
Rayo
A Quemado
Marcada</t>
        </r>
      </text>
    </comment>
    <comment ref="D6" authorId="0" shapeId="0" xr:uid="{00000000-0006-0000-1400-000002000000}">
      <text>
        <r>
          <rPr>
            <b/>
            <sz val="9"/>
            <color indexed="81"/>
            <rFont val="Tahoma"/>
            <family val="2"/>
          </rPr>
          <t>CombibacR
Rayo
Coopersol
Chapetas
A Quemado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CombibacR
Rayo
Coopersol
Chapetas
A Quemado</t>
        </r>
      </text>
    </comment>
    <comment ref="F6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>CombibacR
Rayo
Coopersol
Chapetas
A Quemado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Afmolimor
Combibac
Rayo Vacuna
Coopersol
A Quemado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
Chapetiada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  <comment ref="F6" authorId="0" shapeId="0" xr:uid="{00000000-0006-0000-1800-000002000000}">
      <text>
        <r>
          <rPr>
            <b/>
            <sz val="9"/>
            <color indexed="81"/>
            <rFont val="Tahoma"/>
            <family val="2"/>
          </rPr>
          <t>Aftolimor
CombibacR8
Rayovacuna
Coopersol
A Quemado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</authors>
  <commentList>
    <comment ref="D6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Aftolimor
Combibac
Rayovacuna
Coopersol
A. Quemado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Vallejo</author>
    <author>Usuario</author>
  </authors>
  <commentList>
    <comment ref="D6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 xml:space="preserve">
Combibac R 8
Rayovacuna
Compudose 200
Chapetiada
A. Quemado</t>
        </r>
      </text>
    </comment>
    <comment ref="D7" authorId="1" shapeId="0" xr:uid="{00000000-0006-0000-1B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24-09-19
Combibac R8
Rayovacuna
Coopersol
Aceite quemado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D6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Combibac R8
Rayovacuna
Coopersol
Chapetiada
Aceite quemado</t>
        </r>
      </text>
    </comment>
  </commentList>
</comments>
</file>

<file path=xl/sharedStrings.xml><?xml version="1.0" encoding="utf-8"?>
<sst xmlns="http://schemas.openxmlformats.org/spreadsheetml/2006/main" count="1228" uniqueCount="540">
  <si>
    <t>Color</t>
  </si>
  <si>
    <t xml:space="preserve">Colorado </t>
  </si>
  <si>
    <t>Colorado R.Q.</t>
  </si>
  <si>
    <t>Colorado R.Q.Ks</t>
  </si>
  <si>
    <t>Pardo Ks</t>
  </si>
  <si>
    <t>Blanco crema Ks</t>
  </si>
  <si>
    <t>Negro angus</t>
  </si>
  <si>
    <t>Colorado ruano</t>
  </si>
  <si>
    <t>Pardo F</t>
  </si>
  <si>
    <t>Negro</t>
  </si>
  <si>
    <t>Negro * Ks</t>
  </si>
  <si>
    <t>Pardo *ito</t>
  </si>
  <si>
    <t>Girl</t>
  </si>
  <si>
    <t>Pardo gris * pompos</t>
  </si>
  <si>
    <t>Colorado R.Q. Kits</t>
  </si>
  <si>
    <t>Amarillo</t>
  </si>
  <si>
    <t>Colorado</t>
  </si>
  <si>
    <t>Negro *</t>
  </si>
  <si>
    <t>Pardo</t>
  </si>
  <si>
    <t>Osco</t>
  </si>
  <si>
    <t>Simental</t>
  </si>
  <si>
    <t>Frijolo</t>
  </si>
  <si>
    <t>Careto</t>
  </si>
  <si>
    <t>Blanco</t>
  </si>
  <si>
    <t>Cenizo</t>
  </si>
  <si>
    <t>Negro F</t>
  </si>
  <si>
    <t>Tabaco</t>
  </si>
  <si>
    <t>Crema</t>
  </si>
  <si>
    <t>1928-3</t>
  </si>
  <si>
    <t>9521-0</t>
  </si>
  <si>
    <t>3503-6</t>
  </si>
  <si>
    <t>9439-6</t>
  </si>
  <si>
    <t>9461-9</t>
  </si>
  <si>
    <t>3460-9</t>
  </si>
  <si>
    <t>3492-9</t>
  </si>
  <si>
    <t>Dorado pardo</t>
  </si>
  <si>
    <t>Barcino</t>
  </si>
  <si>
    <t xml:space="preserve">Blanco </t>
  </si>
  <si>
    <t>Dorado</t>
  </si>
  <si>
    <t>Identifica</t>
  </si>
  <si>
    <t>Colorada</t>
  </si>
  <si>
    <t>Blanca</t>
  </si>
  <si>
    <t>Amarilla</t>
  </si>
  <si>
    <t>La Guayra</t>
  </si>
  <si>
    <t>3882-1</t>
  </si>
  <si>
    <t>1923-4</t>
  </si>
  <si>
    <t>5053-7</t>
  </si>
  <si>
    <t>3883-9</t>
  </si>
  <si>
    <t>9468-4</t>
  </si>
  <si>
    <t>3484-6</t>
  </si>
  <si>
    <t>4159-3</t>
  </si>
  <si>
    <t>3468-9</t>
  </si>
  <si>
    <t>3481-2</t>
  </si>
  <si>
    <t>9487-4</t>
  </si>
  <si>
    <t>3488-1</t>
  </si>
  <si>
    <t>3491-1</t>
  </si>
  <si>
    <t>3874-8</t>
  </si>
  <si>
    <t>9473-4</t>
  </si>
  <si>
    <t>Tunga</t>
  </si>
  <si>
    <t>Parda</t>
  </si>
  <si>
    <t>3472-1</t>
  </si>
  <si>
    <t>9498-1</t>
  </si>
  <si>
    <t>9491-6</t>
  </si>
  <si>
    <t>1952-3</t>
  </si>
  <si>
    <t>3877-1</t>
  </si>
  <si>
    <t>4166-8</t>
  </si>
  <si>
    <t>5017-2</t>
  </si>
  <si>
    <t>5202-0</t>
  </si>
  <si>
    <t>5176-6</t>
  </si>
  <si>
    <t>7304-2</t>
  </si>
  <si>
    <t>5105-5</t>
  </si>
  <si>
    <t>5061-0</t>
  </si>
  <si>
    <t>1937-4</t>
  </si>
  <si>
    <t>5165-9</t>
  </si>
  <si>
    <t>Pinto</t>
  </si>
  <si>
    <t>3861-5</t>
  </si>
  <si>
    <t>5173-3</t>
  </si>
  <si>
    <t>78-8</t>
  </si>
  <si>
    <t>6308-4</t>
  </si>
  <si>
    <t>5602-1</t>
  </si>
  <si>
    <t>5404-2</t>
  </si>
  <si>
    <t>3879-7</t>
  </si>
  <si>
    <t>7320-8</t>
  </si>
  <si>
    <t>6310-0</t>
  </si>
  <si>
    <t>5096-6</t>
  </si>
  <si>
    <t>5375-4</t>
  </si>
  <si>
    <t>5172-5</t>
  </si>
  <si>
    <t>5169-1</t>
  </si>
  <si>
    <t>5189-9</t>
  </si>
  <si>
    <t>5607-4</t>
  </si>
  <si>
    <t>5371-3</t>
  </si>
  <si>
    <t>3483-8</t>
  </si>
  <si>
    <t>5399-4</t>
  </si>
  <si>
    <t>5547-8</t>
  </si>
  <si>
    <t>7293-7</t>
  </si>
  <si>
    <t>Blanco Osco</t>
  </si>
  <si>
    <t>Colorado RQ CS</t>
  </si>
  <si>
    <t>Red Poll</t>
  </si>
  <si>
    <t>Colorado RQ F</t>
  </si>
  <si>
    <t>Coloorado</t>
  </si>
  <si>
    <t>Colorado A</t>
  </si>
  <si>
    <t>Colorado Frijolo</t>
  </si>
  <si>
    <t>Colorado R Q</t>
  </si>
  <si>
    <t>Negro Tabaco</t>
  </si>
  <si>
    <t>Blanco pinto</t>
  </si>
  <si>
    <t>Colorado Kn</t>
  </si>
  <si>
    <t>Simenthal</t>
  </si>
  <si>
    <t>Amarillo C Sucio</t>
  </si>
  <si>
    <t>Promedio Kg:</t>
  </si>
  <si>
    <t>Total Kg:</t>
  </si>
  <si>
    <t>Ganacia Diaria:</t>
  </si>
  <si>
    <t>ver nota</t>
  </si>
  <si>
    <t>Ganancia Mes</t>
  </si>
  <si>
    <t>Ver Nota</t>
  </si>
  <si>
    <t># Animales:</t>
  </si>
  <si>
    <t>Negra</t>
  </si>
  <si>
    <t>Barcina</t>
  </si>
  <si>
    <t>Tabaca</t>
  </si>
  <si>
    <t>Colorado RQ</t>
  </si>
  <si>
    <t>Pardo Kn</t>
  </si>
  <si>
    <t>Bayo</t>
  </si>
  <si>
    <t>Blanco pintas</t>
  </si>
  <si>
    <t>Moro Pinto</t>
  </si>
  <si>
    <t>Blanco pompos</t>
  </si>
  <si>
    <t>Negro Ks</t>
  </si>
  <si>
    <t>Amarillo RQ</t>
  </si>
  <si>
    <t>Blanco sucio</t>
  </si>
  <si>
    <t>Blanco Kn</t>
  </si>
  <si>
    <t>Amarillo sucio</t>
  </si>
  <si>
    <t>Pardo R de M</t>
  </si>
  <si>
    <t>Amarillo C sucio</t>
  </si>
  <si>
    <t>Amarillo Ks</t>
  </si>
  <si>
    <t>Trillo 3</t>
  </si>
  <si>
    <t>Blanco S</t>
  </si>
  <si>
    <t>Osco C Bl</t>
  </si>
  <si>
    <t>Pinto CC</t>
  </si>
  <si>
    <t>Negro *on Ks</t>
  </si>
  <si>
    <t>Amarillo S Ks</t>
  </si>
  <si>
    <t>Tabaco F</t>
  </si>
  <si>
    <t>osco Ks</t>
  </si>
  <si>
    <t>Colorado *n Kn</t>
  </si>
  <si>
    <t>Osco Kn</t>
  </si>
  <si>
    <t>Colorado Ruano</t>
  </si>
  <si>
    <t>Pardo Amarillo</t>
  </si>
  <si>
    <t>Harton</t>
  </si>
  <si>
    <t>Blanco Ruano</t>
  </si>
  <si>
    <t>Holstein</t>
  </si>
  <si>
    <t>9539-2</t>
  </si>
  <si>
    <t>9502-0</t>
  </si>
  <si>
    <t>9488-2</t>
  </si>
  <si>
    <t>3471-6</t>
  </si>
  <si>
    <t>Blanca crema</t>
  </si>
  <si>
    <t>9770-2</t>
  </si>
  <si>
    <t>Blanca Ks</t>
  </si>
  <si>
    <t>1759-3</t>
  </si>
  <si>
    <t>3481-7</t>
  </si>
  <si>
    <t>Tabaca Frijola</t>
  </si>
  <si>
    <t>9500-4</t>
  </si>
  <si>
    <t>3451-8</t>
  </si>
  <si>
    <t>Negra Tabaca</t>
  </si>
  <si>
    <t>9462-7</t>
  </si>
  <si>
    <t>9494-0</t>
  </si>
  <si>
    <t>Colorada RQ pom</t>
  </si>
  <si>
    <t>9465-0</t>
  </si>
  <si>
    <t>Parda amarilla</t>
  </si>
  <si>
    <t>9470-6</t>
  </si>
  <si>
    <t>Negra pintas</t>
  </si>
  <si>
    <t>9471-8</t>
  </si>
  <si>
    <t>Colorada RQ 1 K</t>
  </si>
  <si>
    <t>9446-8</t>
  </si>
  <si>
    <t>9483-2</t>
  </si>
  <si>
    <t>1954-0</t>
  </si>
  <si>
    <t>Negra Tabaca F</t>
  </si>
  <si>
    <t>3885-4</t>
  </si>
  <si>
    <t>Negra * pompos</t>
  </si>
  <si>
    <t>9775-4</t>
  </si>
  <si>
    <t>Tabaca R Q</t>
  </si>
  <si>
    <t>Mono</t>
  </si>
  <si>
    <t>Blanco S Ks</t>
  </si>
  <si>
    <t>Amarillo colorado</t>
  </si>
  <si>
    <t>Colorado *on</t>
  </si>
  <si>
    <t>Blanco Ks</t>
  </si>
  <si>
    <t># Finca</t>
  </si>
  <si>
    <t>GANCIA</t>
  </si>
  <si>
    <t>30 M.L</t>
  </si>
  <si>
    <t>23 M.L</t>
  </si>
  <si>
    <t>27 M.L</t>
  </si>
  <si>
    <t>34 M.L</t>
  </si>
  <si>
    <t>14 M.L</t>
  </si>
  <si>
    <t>5601-3</t>
  </si>
  <si>
    <t>6290-4</t>
  </si>
  <si>
    <t>9511-1</t>
  </si>
  <si>
    <t>Pardo amarillo</t>
  </si>
  <si>
    <t>5373-9</t>
  </si>
  <si>
    <t>4180-0</t>
  </si>
  <si>
    <t>3494-5</t>
  </si>
  <si>
    <t>1922-6</t>
  </si>
  <si>
    <t>Negro tabaco</t>
  </si>
  <si>
    <t>5100-6</t>
  </si>
  <si>
    <t>1956-4</t>
  </si>
  <si>
    <t>5171-7</t>
  </si>
  <si>
    <t>5395-2</t>
  </si>
  <si>
    <t>9470-8</t>
  </si>
  <si>
    <t>Amarillo pardo</t>
  </si>
  <si>
    <t>4171-8</t>
  </si>
  <si>
    <t>4177-5</t>
  </si>
  <si>
    <t>3859-9</t>
  </si>
  <si>
    <t>5058-6</t>
  </si>
  <si>
    <t>1925-9</t>
  </si>
  <si>
    <t>4478-3</t>
  </si>
  <si>
    <t>9532-7</t>
  </si>
  <si>
    <t>1958-8</t>
  </si>
  <si>
    <t>9464-3</t>
  </si>
  <si>
    <t>3501-7</t>
  </si>
  <si>
    <t>9497-3</t>
  </si>
  <si>
    <t>Negro pardo</t>
  </si>
  <si>
    <t>1957-2</t>
  </si>
  <si>
    <t>1946-5</t>
  </si>
  <si>
    <t>3881-2</t>
  </si>
  <si>
    <t>3474-7</t>
  </si>
  <si>
    <t>3497-8</t>
  </si>
  <si>
    <t>Colorado *</t>
  </si>
  <si>
    <t>5119-4</t>
  </si>
  <si>
    <t>Q E P D</t>
  </si>
  <si>
    <t>Blanco girl</t>
  </si>
  <si>
    <t>Café girl</t>
  </si>
  <si>
    <t>Pardo RQ B</t>
  </si>
  <si>
    <t>Colorado F</t>
  </si>
  <si>
    <t>Colorado pompos</t>
  </si>
  <si>
    <t xml:space="preserve">Negro </t>
  </si>
  <si>
    <t>20 N.V</t>
  </si>
  <si>
    <t>25ML</t>
  </si>
  <si>
    <t>Lote</t>
  </si>
  <si>
    <t>Animales</t>
  </si>
  <si>
    <t>Peso Total</t>
  </si>
  <si>
    <t>Peso Promedio</t>
  </si>
  <si>
    <t>Peso Venta</t>
  </si>
  <si>
    <t>Ganancia Proy/mes</t>
  </si>
  <si>
    <t>Meses para venta</t>
  </si>
  <si>
    <t>Precio Venta</t>
  </si>
  <si>
    <t>Animales Venta</t>
  </si>
  <si>
    <t>Costo Fijo</t>
  </si>
  <si>
    <t>Venta</t>
  </si>
  <si>
    <t>Animales Compra</t>
  </si>
  <si>
    <t>Kg Vendidos</t>
  </si>
  <si>
    <t>Kg Comprados</t>
  </si>
  <si>
    <t>Precio Compra</t>
  </si>
  <si>
    <t>Compra</t>
  </si>
  <si>
    <t>Saldo Mes</t>
  </si>
  <si>
    <t>Saldo Acumuluado</t>
  </si>
  <si>
    <t>Rojo</t>
  </si>
  <si>
    <t>Colorado frijolo</t>
  </si>
  <si>
    <t>Negro Tabaco F</t>
  </si>
  <si>
    <t>Jersey</t>
  </si>
  <si>
    <t>Colorado R Q F</t>
  </si>
  <si>
    <t>Girl cenizo</t>
  </si>
  <si>
    <t>Colorado T</t>
  </si>
  <si>
    <t xml:space="preserve">Amarillo </t>
  </si>
  <si>
    <t>Colorado sucio</t>
  </si>
  <si>
    <t>Colorado F Ks</t>
  </si>
  <si>
    <t>Bayo CC</t>
  </si>
  <si>
    <t>Osco Frijolo</t>
  </si>
  <si>
    <t>Colorado sucio C S</t>
  </si>
  <si>
    <t>Blanco crema</t>
  </si>
  <si>
    <t>Amarillo R Q</t>
  </si>
  <si>
    <t>Pardo R M</t>
  </si>
  <si>
    <t>Osco amarillo</t>
  </si>
  <si>
    <t>R El Guasimo</t>
  </si>
  <si>
    <t>33 M.L</t>
  </si>
  <si>
    <t>Individual</t>
  </si>
  <si>
    <t>Osco pinto</t>
  </si>
  <si>
    <t>Colorado girl</t>
  </si>
  <si>
    <t>Colorado gafas</t>
  </si>
  <si>
    <t xml:space="preserve"> Amarillo frijolo</t>
  </si>
  <si>
    <t>Colorado CS pom</t>
  </si>
  <si>
    <t>Osco CS</t>
  </si>
  <si>
    <t>Pardo RM</t>
  </si>
  <si>
    <t>Colorado pom</t>
  </si>
  <si>
    <t>Pardo RM B</t>
  </si>
  <si>
    <t>7284-6</t>
  </si>
  <si>
    <t>6321-7</t>
  </si>
  <si>
    <t>Negro bragado</t>
  </si>
  <si>
    <t>7303-4</t>
  </si>
  <si>
    <t>7286-1</t>
  </si>
  <si>
    <t>7264-8</t>
  </si>
  <si>
    <t>5401-8</t>
  </si>
  <si>
    <t>7278-8</t>
  </si>
  <si>
    <t>7227-5</t>
  </si>
  <si>
    <t>7313-3</t>
  </si>
  <si>
    <t>7316-6</t>
  </si>
  <si>
    <t>5265-7</t>
  </si>
  <si>
    <t>5201-2</t>
  </si>
  <si>
    <t>Pardo pompos</t>
  </si>
  <si>
    <t>5175-8</t>
  </si>
  <si>
    <t>6324-1</t>
  </si>
  <si>
    <t>7268-9</t>
  </si>
  <si>
    <t>7319-0</t>
  </si>
  <si>
    <t>7299-4</t>
  </si>
  <si>
    <t>7296-0</t>
  </si>
  <si>
    <t>7260-6</t>
  </si>
  <si>
    <t>6322-5</t>
  </si>
  <si>
    <t>7321-6</t>
  </si>
  <si>
    <t>Amarillo gafas</t>
  </si>
  <si>
    <t>7287-9</t>
  </si>
  <si>
    <t>7257-2</t>
  </si>
  <si>
    <t>7292-9</t>
  </si>
  <si>
    <t>7277-0</t>
  </si>
  <si>
    <t>7282-0</t>
  </si>
  <si>
    <t>Negro holstein</t>
  </si>
  <si>
    <t>Colorado pintas Ks</t>
  </si>
  <si>
    <t>Negro pompos</t>
  </si>
  <si>
    <t>Harton C N</t>
  </si>
  <si>
    <t>Pardo *</t>
  </si>
  <si>
    <t>Romosinuano</t>
  </si>
  <si>
    <t>Negro girl</t>
  </si>
  <si>
    <t>Pardo amarillo Kn</t>
  </si>
  <si>
    <t>Bayo CS</t>
  </si>
  <si>
    <t>Negra F1</t>
  </si>
  <si>
    <t>Negra Coliblanca F1</t>
  </si>
  <si>
    <t>5196-4</t>
  </si>
  <si>
    <t>7240-8</t>
  </si>
  <si>
    <t>7249-9</t>
  </si>
  <si>
    <t>7317-4</t>
  </si>
  <si>
    <t>7256-4</t>
  </si>
  <si>
    <t>7301-8</t>
  </si>
  <si>
    <t>7300-0</t>
  </si>
  <si>
    <t>7238-2</t>
  </si>
  <si>
    <t>7306-7</t>
  </si>
  <si>
    <t>3863-1</t>
  </si>
  <si>
    <t>9518-6</t>
  </si>
  <si>
    <t>9495-7</t>
  </si>
  <si>
    <t>9508-7</t>
  </si>
  <si>
    <t>9504-6</t>
  </si>
  <si>
    <t>9517-8</t>
  </si>
  <si>
    <t>3508-5</t>
  </si>
  <si>
    <t>9493-2</t>
  </si>
  <si>
    <t>1936-6</t>
  </si>
  <si>
    <t>3460-8</t>
  </si>
  <si>
    <t>9541-8</t>
  </si>
  <si>
    <t>9514-5</t>
  </si>
  <si>
    <t>1953-1</t>
  </si>
  <si>
    <t>9520-2</t>
  </si>
  <si>
    <t>1930-9</t>
  </si>
  <si>
    <t>1932-5</t>
  </si>
  <si>
    <t>3492-2</t>
  </si>
  <si>
    <t>1958-0</t>
  </si>
  <si>
    <t>1931-7</t>
  </si>
  <si>
    <t>3500-9</t>
  </si>
  <si>
    <t>1933-3</t>
  </si>
  <si>
    <t>9481-7</t>
  </si>
  <si>
    <t>1942-4</t>
  </si>
  <si>
    <t>9510-3</t>
  </si>
  <si>
    <t>9467-6</t>
  </si>
  <si>
    <t>9490-8</t>
  </si>
  <si>
    <t>1941-6</t>
  </si>
  <si>
    <t>9469-2</t>
  </si>
  <si>
    <t>3865-6</t>
  </si>
  <si>
    <t>7318-2</t>
  </si>
  <si>
    <t>Cedro Baga</t>
  </si>
  <si>
    <t>31 M.C</t>
  </si>
  <si>
    <t>19 M.L</t>
  </si>
  <si>
    <t>6302-7</t>
  </si>
  <si>
    <t>7234-1</t>
  </si>
  <si>
    <t>7314-1</t>
  </si>
  <si>
    <t>7282-8</t>
  </si>
  <si>
    <t>5545-2</t>
  </si>
  <si>
    <t>6314-2</t>
  </si>
  <si>
    <t>6294-6</t>
  </si>
  <si>
    <t>7298-6</t>
  </si>
  <si>
    <t>6303-5</t>
  </si>
  <si>
    <t>7307-5</t>
  </si>
  <si>
    <t>7323-3</t>
  </si>
  <si>
    <t>7324-0</t>
  </si>
  <si>
    <t>6298-7</t>
  </si>
  <si>
    <t>7311-7</t>
  </si>
  <si>
    <t>7280-4</t>
  </si>
  <si>
    <t>7317-5</t>
  </si>
  <si>
    <t>7312-5</t>
  </si>
  <si>
    <t>7255-8</t>
  </si>
  <si>
    <t>6295-3</t>
  </si>
  <si>
    <t>7288-7</t>
  </si>
  <si>
    <t>20 H.L</t>
  </si>
  <si>
    <t>Carrizal</t>
  </si>
  <si>
    <t>El Salto</t>
  </si>
  <si>
    <t>Peralonzo</t>
  </si>
  <si>
    <t>Morroputo</t>
  </si>
  <si>
    <t>Baga Honda</t>
  </si>
  <si>
    <t>El Marne</t>
  </si>
  <si>
    <t>Palermo Falda</t>
  </si>
  <si>
    <t>R Cedro Plan</t>
  </si>
  <si>
    <t>El Dinde</t>
  </si>
  <si>
    <t>Los Yarumos</t>
  </si>
  <si>
    <t>El Bosque</t>
  </si>
  <si>
    <t>Reemplazar +</t>
  </si>
  <si>
    <t>Ciclos a calcular</t>
  </si>
  <si>
    <t>Precio Venta/kg</t>
  </si>
  <si>
    <t>Precio Compra/kg</t>
  </si>
  <si>
    <t>Peso Compra (kg)</t>
  </si>
  <si>
    <t>Peso Venta (kg)</t>
  </si>
  <si>
    <t>Costo Fijo Mes</t>
  </si>
  <si>
    <t>Duracion Ciclo</t>
  </si>
  <si>
    <t>capital</t>
  </si>
  <si>
    <t>i EA</t>
  </si>
  <si>
    <t>i MV</t>
  </si>
  <si>
    <t>interes mensual</t>
  </si>
  <si>
    <t>saldo</t>
  </si>
  <si>
    <t>credito</t>
  </si>
  <si>
    <t>9481-6</t>
  </si>
  <si>
    <t>Fecha Venta</t>
  </si>
  <si>
    <t>Kg Venta</t>
  </si>
  <si>
    <t>Vendido A</t>
  </si>
  <si>
    <t>$ Kg</t>
  </si>
  <si>
    <t>3518-4</t>
  </si>
  <si>
    <t>Entre Carnes</t>
  </si>
  <si>
    <t>0407-0</t>
  </si>
  <si>
    <t>9522-6</t>
  </si>
  <si>
    <t>3504-4</t>
  </si>
  <si>
    <t>3500-2</t>
  </si>
  <si>
    <t>1917-6</t>
  </si>
  <si>
    <t>3515-0</t>
  </si>
  <si>
    <t>3516-8</t>
  </si>
  <si>
    <t>9489-0</t>
  </si>
  <si>
    <t>O443-3</t>
  </si>
  <si>
    <t>9776-6</t>
  </si>
  <si>
    <t>9472-6</t>
  </si>
  <si>
    <t>3424-5</t>
  </si>
  <si>
    <t>3438-5</t>
  </si>
  <si>
    <t>3295-9</t>
  </si>
  <si>
    <t>3467-4</t>
  </si>
  <si>
    <t>3430-2</t>
  </si>
  <si>
    <t>Cañaveral</t>
  </si>
  <si>
    <t>9482-5</t>
  </si>
  <si>
    <t>3513-5</t>
  </si>
  <si>
    <t>9474-1</t>
  </si>
  <si>
    <t>3443-5</t>
  </si>
  <si>
    <t>3425-2</t>
  </si>
  <si>
    <t>3457-5</t>
  </si>
  <si>
    <t>3484-9</t>
  </si>
  <si>
    <t>3422-9</t>
  </si>
  <si>
    <t>NO #</t>
  </si>
  <si>
    <t>3477-3</t>
  </si>
  <si>
    <t>a Mayo</t>
  </si>
  <si>
    <t>Agosto</t>
  </si>
  <si>
    <t>Corozalito</t>
  </si>
  <si>
    <t>19 M.l</t>
  </si>
  <si>
    <t>Hoyo - Penalisa</t>
  </si>
  <si>
    <t>3490-3</t>
  </si>
  <si>
    <t>9485-8</t>
  </si>
  <si>
    <t>9535-0</t>
  </si>
  <si>
    <t>1920-0</t>
  </si>
  <si>
    <t>Negra T</t>
  </si>
  <si>
    <t>1940-8</t>
  </si>
  <si>
    <t>3853-2</t>
  </si>
  <si>
    <t>1947-3</t>
  </si>
  <si>
    <t>9463-5</t>
  </si>
  <si>
    <t>9526-0</t>
  </si>
  <si>
    <t>9496-5</t>
  </si>
  <si>
    <t>9466-8</t>
  </si>
  <si>
    <t>9476-6</t>
  </si>
  <si>
    <t>1949-9</t>
  </si>
  <si>
    <t>1948-1</t>
  </si>
  <si>
    <t>1939-0</t>
  </si>
  <si>
    <t>1926-7</t>
  </si>
  <si>
    <t>3854-0</t>
  </si>
  <si>
    <t>1943-2</t>
  </si>
  <si>
    <t>3852-9</t>
  </si>
  <si>
    <t>9530-1</t>
  </si>
  <si>
    <t>1929-1</t>
  </si>
  <si>
    <t>3487-9</t>
  </si>
  <si>
    <t>3499-4</t>
  </si>
  <si>
    <t>1951-5</t>
  </si>
  <si>
    <t>9525-1</t>
  </si>
  <si>
    <t>42 ML</t>
  </si>
  <si>
    <t>0525-1</t>
  </si>
  <si>
    <t>7276-2</t>
  </si>
  <si>
    <t>Colorada Ladrona</t>
  </si>
  <si>
    <t>Cantidad Lotes</t>
  </si>
  <si>
    <t>CedroPlan</t>
  </si>
  <si>
    <t>8421-8475</t>
  </si>
  <si>
    <t>31M.C</t>
  </si>
  <si>
    <t>8420-8478</t>
  </si>
  <si>
    <t>8501-8530</t>
  </si>
  <si>
    <t>8401-8419</t>
  </si>
  <si>
    <t>57M.L</t>
  </si>
  <si>
    <t>17NV</t>
  </si>
  <si>
    <t>32NV</t>
  </si>
  <si>
    <t>15M.L</t>
  </si>
  <si>
    <t>84104-84132</t>
  </si>
  <si>
    <t>Cria20H.L</t>
  </si>
  <si>
    <t>9201-9234</t>
  </si>
  <si>
    <t>8479-84103</t>
  </si>
  <si>
    <t>8615-8675</t>
  </si>
  <si>
    <t>Tauram1</t>
  </si>
  <si>
    <t>9328-9350Carr</t>
  </si>
  <si>
    <t>9301-9327</t>
  </si>
  <si>
    <t>Cria30ML</t>
  </si>
  <si>
    <t>9601-9637</t>
  </si>
  <si>
    <t>8613-8654</t>
  </si>
  <si>
    <t>30M.L Cria</t>
  </si>
  <si>
    <t>20H.L</t>
  </si>
  <si>
    <t>9701-9745</t>
  </si>
  <si>
    <t>9801-9844</t>
  </si>
  <si>
    <t>9845-9864</t>
  </si>
  <si>
    <t>Caja inicial / Otros Ingresos</t>
  </si>
  <si>
    <t>Amarilo</t>
  </si>
  <si>
    <t>Negro T. C.S.</t>
  </si>
  <si>
    <t>Negro T. Careto</t>
  </si>
  <si>
    <t>Colorado S Ks</t>
  </si>
  <si>
    <t>La Pangola</t>
  </si>
  <si>
    <t>21 M.L.</t>
  </si>
  <si>
    <t>9568-9</t>
  </si>
  <si>
    <t>Junio</t>
  </si>
  <si>
    <t>Noviembre</t>
  </si>
  <si>
    <t>Pardizo</t>
  </si>
  <si>
    <t>Verdun</t>
  </si>
  <si>
    <t>51 NC</t>
  </si>
  <si>
    <t>9227-7</t>
  </si>
  <si>
    <t>9714-7</t>
  </si>
  <si>
    <t>Palermo</t>
  </si>
  <si>
    <t>Trillo</t>
  </si>
  <si>
    <t xml:space="preserve">44 ML </t>
  </si>
  <si>
    <t>Kg Mes</t>
  </si>
  <si>
    <t>El Trillo</t>
  </si>
  <si>
    <t>45 M.L Cria</t>
  </si>
  <si>
    <t>La Cumbre</t>
  </si>
  <si>
    <t>30 NC</t>
  </si>
  <si>
    <t>36 Lomo</t>
  </si>
  <si>
    <t>A 11/15/19</t>
  </si>
  <si>
    <t>A 14/11/19</t>
  </si>
  <si>
    <t>R Palermo</t>
  </si>
  <si>
    <t>a 24/5/19</t>
  </si>
  <si>
    <t>28 M.L</t>
  </si>
  <si>
    <t>R. Palermo</t>
  </si>
  <si>
    <t>7289-5</t>
  </si>
  <si>
    <t>7266-3</t>
  </si>
  <si>
    <t>7638-2</t>
  </si>
  <si>
    <t>5403-4</t>
  </si>
  <si>
    <t>5397-8</t>
  </si>
  <si>
    <t>La Cubre</t>
  </si>
  <si>
    <t>Penalisa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</si>
</sst>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&quot;$&quot;\ * #,##0_-;\-&quot;$&quot;\ * #,##0_-;_-&quot;$&quot;\ * &quot;-&quot;_-;_-@_-"/>
    <numFmt numFmtId="165" formatCode="0.000"/>
    <numFmt numFmtId="166" formatCode="dd/mm/yy;@"/>
    <numFmt numFmtId="167" formatCode="0.0"/>
    <numFmt numFmtId="168" formatCode="#,##0.0"/>
    <numFmt numFmtId="169" formatCode="&quot;$&quot;\ #,##0;[Red]&quot;$&quot;\ #,##0"/>
    <numFmt numFmtId="170" formatCode="_-&quot;$&quot;\ * #,##0_-;\-&quot;$&quot;\ * #,##0_-;_-&quot;$&quot;\ * &quot;-&quot;??_-;_-@_-"/>
    <numFmt numFmtId="171" formatCode="&quot;$&quot;#,##0"/>
    <numFmt numFmtId="172" formatCode="d/m/yy;@"/>
    <numFmt numFmtId="173" formatCode="[$-409]d\-mmm\-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sz val="11"/>
      <name val="Calibri"/>
      <family val="2"/>
      <scheme val="minor"/>
    </font>
    <font>
      <sz val="11"/>
      <color rgb="FFFF0000"/>
      <name val="Segoe UI"/>
      <family val="2"/>
    </font>
    <font>
      <sz val="11"/>
      <name val="Segoe UI"/>
      <family val="2"/>
    </font>
    <font>
      <b/>
      <sz val="12"/>
      <color theme="1"/>
      <name val="Segoe UI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0" applyFont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3" fontId="6" fillId="3" borderId="0" xfId="0" applyNumberFormat="1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" fontId="6" fillId="3" borderId="0" xfId="0" applyNumberFormat="1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" fontId="6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right" vertical="center"/>
    </xf>
    <xf numFmtId="3" fontId="6" fillId="3" borderId="1" xfId="0" applyNumberFormat="1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4" fontId="6" fillId="0" borderId="0" xfId="0" applyNumberFormat="1" applyFont="1" applyFill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4" fontId="4" fillId="2" borderId="0" xfId="0" applyNumberFormat="1" applyFont="1" applyFill="1" applyAlignment="1">
      <alignment horizontal="center"/>
    </xf>
    <xf numFmtId="168" fontId="6" fillId="3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/>
    <xf numFmtId="0" fontId="2" fillId="0" borderId="0" xfId="0" applyFont="1" applyAlignment="1">
      <alignment horizont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/>
    </xf>
    <xf numFmtId="0" fontId="9" fillId="0" borderId="0" xfId="0" applyFont="1" applyAlignment="1">
      <alignment horizontal="center"/>
    </xf>
    <xf numFmtId="3" fontId="5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Fill="1" applyAlignment="1">
      <alignment horizontal="center"/>
    </xf>
    <xf numFmtId="3" fontId="10" fillId="0" borderId="0" xfId="0" applyNumberFormat="1" applyFont="1"/>
    <xf numFmtId="0" fontId="11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1" fontId="5" fillId="0" borderId="0" xfId="0" applyNumberFormat="1" applyFont="1" applyAlignment="1">
      <alignment horizontal="center"/>
    </xf>
    <xf numFmtId="0" fontId="4" fillId="0" borderId="0" xfId="0" applyFont="1"/>
    <xf numFmtId="0" fontId="0" fillId="0" borderId="0" xfId="0" applyBorder="1"/>
    <xf numFmtId="0" fontId="5" fillId="0" borderId="0" xfId="0" applyFont="1" applyBorder="1"/>
    <xf numFmtId="0" fontId="10" fillId="0" borderId="0" xfId="0" applyFont="1" applyFill="1" applyBorder="1" applyAlignment="1">
      <alignment horizontal="center"/>
    </xf>
    <xf numFmtId="0" fontId="0" fillId="6" borderId="2" xfId="0" applyFill="1" applyBorder="1"/>
    <xf numFmtId="164" fontId="0" fillId="6" borderId="2" xfId="1" applyFont="1" applyFill="1" applyBorder="1"/>
    <xf numFmtId="0" fontId="0" fillId="5" borderId="2" xfId="0" applyFill="1" applyBorder="1"/>
    <xf numFmtId="164" fontId="0" fillId="5" borderId="2" xfId="1" applyFont="1" applyFill="1" applyBorder="1"/>
    <xf numFmtId="164" fontId="0" fillId="0" borderId="2" xfId="1" applyFont="1" applyBorder="1"/>
    <xf numFmtId="164" fontId="1" fillId="6" borderId="2" xfId="1" applyFont="1" applyFill="1" applyBorder="1"/>
    <xf numFmtId="0" fontId="1" fillId="4" borderId="2" xfId="0" applyFont="1" applyFill="1" applyBorder="1" applyAlignment="1">
      <alignment horizontal="center"/>
    </xf>
    <xf numFmtId="17" fontId="1" fillId="4" borderId="2" xfId="0" applyNumberFormat="1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0" borderId="0" xfId="0" applyNumberFormat="1" applyFont="1"/>
    <xf numFmtId="0" fontId="1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4" fillId="0" borderId="0" xfId="0" applyFont="1"/>
    <xf numFmtId="0" fontId="5" fillId="0" borderId="0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10" fillId="0" borderId="0" xfId="0" applyFont="1" applyFill="1"/>
    <xf numFmtId="0" fontId="5" fillId="0" borderId="0" xfId="0" applyFont="1" applyAlignment="1">
      <alignment horizontal="left"/>
    </xf>
    <xf numFmtId="3" fontId="4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67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1" applyFont="1"/>
    <xf numFmtId="0" fontId="15" fillId="0" borderId="0" xfId="0" applyFont="1" applyAlignment="1">
      <alignment horizontal="center"/>
    </xf>
    <xf numFmtId="0" fontId="0" fillId="0" borderId="0" xfId="0" applyFill="1"/>
    <xf numFmtId="1" fontId="0" fillId="6" borderId="0" xfId="0" applyNumberFormat="1" applyFill="1"/>
    <xf numFmtId="0" fontId="0" fillId="7" borderId="0" xfId="0" applyFill="1"/>
    <xf numFmtId="164" fontId="0" fillId="7" borderId="0" xfId="1" applyFont="1" applyFill="1"/>
    <xf numFmtId="0" fontId="0" fillId="8" borderId="0" xfId="0" applyFill="1"/>
    <xf numFmtId="1" fontId="0" fillId="8" borderId="0" xfId="0" applyNumberFormat="1" applyFill="1"/>
    <xf numFmtId="0" fontId="0" fillId="9" borderId="0" xfId="0" applyFill="1"/>
    <xf numFmtId="164" fontId="0" fillId="9" borderId="0" xfId="1" applyFont="1" applyFill="1"/>
    <xf numFmtId="169" fontId="1" fillId="6" borderId="2" xfId="1" applyNumberFormat="1" applyFont="1" applyFill="1" applyBorder="1"/>
    <xf numFmtId="9" fontId="0" fillId="0" borderId="0" xfId="0" applyNumberFormat="1"/>
    <xf numFmtId="10" fontId="0" fillId="0" borderId="0" xfId="2" applyNumberFormat="1" applyFont="1"/>
    <xf numFmtId="164" fontId="0" fillId="0" borderId="0" xfId="0" applyNumberFormat="1"/>
    <xf numFmtId="170" fontId="0" fillId="0" borderId="0" xfId="0" applyNumberFormat="1"/>
    <xf numFmtId="0" fontId="0" fillId="0" borderId="0" xfId="0" applyFill="1" applyAlignment="1">
      <alignment horizontal="center"/>
    </xf>
    <xf numFmtId="171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/>
    </xf>
    <xf numFmtId="172" fontId="4" fillId="0" borderId="0" xfId="0" applyNumberFormat="1" applyFont="1" applyAlignment="1">
      <alignment horizontal="center"/>
    </xf>
    <xf numFmtId="171" fontId="4" fillId="0" borderId="0" xfId="0" applyNumberFormat="1" applyFont="1" applyAlignment="1">
      <alignment horizontal="center"/>
    </xf>
    <xf numFmtId="16" fontId="5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1" fontId="5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3" fontId="10" fillId="0" borderId="0" xfId="0" applyNumberFormat="1" applyFont="1" applyAlignment="1">
      <alignment horizontal="center"/>
    </xf>
    <xf numFmtId="2" fontId="10" fillId="0" borderId="0" xfId="0" applyNumberFormat="1" applyFont="1" applyFill="1" applyAlignment="1">
      <alignment horizontal="center"/>
    </xf>
    <xf numFmtId="2" fontId="1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16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left"/>
    </xf>
    <xf numFmtId="0" fontId="0" fillId="0" borderId="0" xfId="0" applyFill="1" applyAlignment="1"/>
    <xf numFmtId="2" fontId="6" fillId="3" borderId="0" xfId="0" applyNumberFormat="1" applyFont="1" applyFill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6" fontId="4" fillId="0" borderId="0" xfId="0" applyNumberFormat="1" applyFont="1" applyAlignment="1">
      <alignment horizontal="center"/>
    </xf>
    <xf numFmtId="167" fontId="6" fillId="3" borderId="0" xfId="0" applyNumberFormat="1" applyFont="1" applyFill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167" fontId="6" fillId="3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73" fontId="5" fillId="0" borderId="0" xfId="0" applyNumberFormat="1" applyFont="1" applyAlignment="1">
      <alignment horizontal="center"/>
    </xf>
    <xf numFmtId="173" fontId="5" fillId="0" borderId="0" xfId="0" applyNumberFormat="1" applyFont="1"/>
    <xf numFmtId="165" fontId="6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Currency [0]" xfId="1" builtinId="7"/>
    <cellStyle name="Normal" xfId="0" builtinId="0"/>
    <cellStyle name="Percent" xfId="2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00B050"/>
      </font>
      <fill>
        <patternFill patternType="none">
          <bgColor auto="1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134937</xdr:colOff>
      <xdr:row>1</xdr:row>
      <xdr:rowOff>31749</xdr:rowOff>
    </xdr:from>
    <xdr:to>
      <xdr:col>9</xdr:col>
      <xdr:colOff>739775</xdr:colOff>
      <xdr:row>3</xdr:row>
      <xdr:rowOff>57149</xdr:rowOff>
    </xdr:to>
    <xdr:sp macro="" textlink="">
      <xdr:nvSpPr>
        <xdr:cNvPr id="124929" name="CommandButton1" hidden="1">
          <a:extLst>
            <a:ext uri="{63B3BB69-23CF-44E3-9099-C40C66FF867C}">
              <a14:compatExt xmlns:a14="http://schemas.microsoft.com/office/drawing/2010/main" spid="_x0000_s124929"/>
            </a:ext>
            <a:ext uri="{FF2B5EF4-FFF2-40B4-BE49-F238E27FC236}">
              <a16:creationId xmlns:a16="http://schemas.microsoft.com/office/drawing/2014/main" id="{00000000-0008-0000-0100-000001E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</xdr:row>
          <xdr:rowOff>88900</xdr:rowOff>
        </xdr:from>
        <xdr:to>
          <xdr:col>11</xdr:col>
          <xdr:colOff>215900</xdr:colOff>
          <xdr:row>3</xdr:row>
          <xdr:rowOff>133350</xdr:rowOff>
        </xdr:to>
        <xdr:sp macro="" textlink="">
          <xdr:nvSpPr>
            <xdr:cNvPr id="124931" name="CommandButton2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1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95250</xdr:rowOff>
        </xdr:from>
        <xdr:to>
          <xdr:col>13</xdr:col>
          <xdr:colOff>501650</xdr:colOff>
          <xdr:row>3</xdr:row>
          <xdr:rowOff>101600</xdr:rowOff>
        </xdr:to>
        <xdr:sp macro="" textlink="">
          <xdr:nvSpPr>
            <xdr:cNvPr id="124932" name="CommandButton3" hidden="1">
              <a:extLst>
                <a:ext uri="{63B3BB69-23CF-44E3-9099-C40C66FF867C}">
                  <a14:compatExt spid="_x0000_s124932"/>
                </a:ext>
                <a:ext uri="{FF2B5EF4-FFF2-40B4-BE49-F238E27FC236}">
                  <a16:creationId xmlns:a16="http://schemas.microsoft.com/office/drawing/2014/main" id="{00000000-0008-0000-0100-000004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0</xdr:row>
          <xdr:rowOff>114300</xdr:rowOff>
        </xdr:from>
        <xdr:to>
          <xdr:col>9</xdr:col>
          <xdr:colOff>711200</xdr:colOff>
          <xdr:row>2</xdr:row>
          <xdr:rowOff>133350</xdr:rowOff>
        </xdr:to>
        <xdr:sp macro="" textlink="">
          <xdr:nvSpPr>
            <xdr:cNvPr id="124933" name="CommandButton1" hidden="1">
              <a:extLst>
                <a:ext uri="{63B3BB69-23CF-44E3-9099-C40C66FF867C}">
                  <a14:compatExt spid="_x0000_s124933"/>
                </a:ext>
                <a:ext uri="{FF2B5EF4-FFF2-40B4-BE49-F238E27FC236}">
                  <a16:creationId xmlns:a16="http://schemas.microsoft.com/office/drawing/2014/main" id="{00000000-0008-0000-0100-000005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J115"/>
  <sheetViews>
    <sheetView zoomScaleNormal="100" workbookViewId="0">
      <pane ySplit="4" topLeftCell="A96" activePane="bottomLeft" state="frozen"/>
      <selection pane="bottomLeft" activeCell="A115" sqref="A115"/>
    </sheetView>
  </sheetViews>
  <sheetFormatPr defaultColWidth="10.81640625" defaultRowHeight="16.5" x14ac:dyDescent="0.45"/>
  <cols>
    <col min="1" max="1" width="12.81640625" style="126" bestFit="1" customWidth="1"/>
    <col min="2" max="2" width="11.453125" style="9" bestFit="1" customWidth="1"/>
    <col min="3" max="3" width="11" style="9" customWidth="1"/>
    <col min="4" max="4" width="15.26953125" style="6" bestFit="1" customWidth="1"/>
    <col min="5" max="5" width="10.453125" style="9" bestFit="1" customWidth="1"/>
    <col min="6" max="6" width="12.1796875" style="6" bestFit="1" customWidth="1"/>
    <col min="7" max="7" width="11.54296875" style="100" bestFit="1" customWidth="1"/>
    <col min="8" max="16384" width="10.81640625" style="6"/>
  </cols>
  <sheetData>
    <row r="1" spans="1:8" s="16" customFormat="1" ht="17.5" x14ac:dyDescent="0.35">
      <c r="B1" s="129"/>
      <c r="C1" s="129"/>
      <c r="D1" s="13" t="s">
        <v>114</v>
      </c>
      <c r="E1" s="14">
        <f>COUNT(E5:E200)</f>
        <v>111</v>
      </c>
      <c r="G1" s="94"/>
    </row>
    <row r="2" spans="1:8" s="16" customFormat="1" ht="11.5" customHeight="1" x14ac:dyDescent="0.35">
      <c r="B2" s="130"/>
      <c r="C2" s="130"/>
      <c r="D2" s="13" t="s">
        <v>109</v>
      </c>
      <c r="E2" s="14">
        <f>SUM(E5:E200)</f>
        <v>57236</v>
      </c>
      <c r="G2" s="94"/>
    </row>
    <row r="3" spans="1:8" s="16" customFormat="1" ht="11.5" customHeight="1" x14ac:dyDescent="0.35">
      <c r="B3" s="17"/>
      <c r="C3" s="17"/>
      <c r="D3" s="13" t="s">
        <v>108</v>
      </c>
      <c r="E3" s="14">
        <f>+E2/E1</f>
        <v>515.63963963963965</v>
      </c>
      <c r="G3" s="94"/>
    </row>
    <row r="4" spans="1:8" x14ac:dyDescent="0.45">
      <c r="A4" s="47" t="s">
        <v>408</v>
      </c>
      <c r="B4" s="95" t="s">
        <v>182</v>
      </c>
      <c r="C4" s="95" t="s">
        <v>39</v>
      </c>
      <c r="D4" s="7" t="s">
        <v>0</v>
      </c>
      <c r="E4" s="96" t="s">
        <v>409</v>
      </c>
      <c r="F4" s="7" t="s">
        <v>410</v>
      </c>
      <c r="G4" s="97" t="s">
        <v>411</v>
      </c>
    </row>
    <row r="5" spans="1:8" x14ac:dyDescent="0.45">
      <c r="A5" s="125">
        <v>43620</v>
      </c>
      <c r="B5" s="3"/>
      <c r="C5" s="3" t="s">
        <v>412</v>
      </c>
      <c r="E5" s="99">
        <v>490</v>
      </c>
      <c r="F5" s="6" t="s">
        <v>413</v>
      </c>
    </row>
    <row r="6" spans="1:8" x14ac:dyDescent="0.45">
      <c r="A6" s="125">
        <v>43620</v>
      </c>
      <c r="B6" s="3"/>
      <c r="C6" s="3" t="s">
        <v>414</v>
      </c>
      <c r="E6" s="99">
        <v>570</v>
      </c>
      <c r="F6" s="6" t="s">
        <v>413</v>
      </c>
    </row>
    <row r="7" spans="1:8" x14ac:dyDescent="0.45">
      <c r="A7" s="125">
        <v>43620</v>
      </c>
      <c r="B7" s="3"/>
      <c r="C7" s="3" t="s">
        <v>415</v>
      </c>
      <c r="E7" s="99">
        <v>510</v>
      </c>
      <c r="F7" s="6" t="s">
        <v>413</v>
      </c>
      <c r="H7"/>
    </row>
    <row r="8" spans="1:8" x14ac:dyDescent="0.45">
      <c r="A8" s="125">
        <v>43620</v>
      </c>
      <c r="B8" s="3"/>
      <c r="C8" s="3" t="s">
        <v>416</v>
      </c>
      <c r="E8" s="99">
        <v>506</v>
      </c>
      <c r="F8" s="6" t="s">
        <v>413</v>
      </c>
      <c r="H8"/>
    </row>
    <row r="9" spans="1:8" x14ac:dyDescent="0.45">
      <c r="A9" s="125">
        <v>43620</v>
      </c>
      <c r="B9" s="3"/>
      <c r="C9" s="3" t="s">
        <v>417</v>
      </c>
      <c r="E9" s="99">
        <v>518</v>
      </c>
      <c r="F9" s="6" t="s">
        <v>413</v>
      </c>
      <c r="H9"/>
    </row>
    <row r="10" spans="1:8" x14ac:dyDescent="0.45">
      <c r="A10" s="125">
        <v>43620</v>
      </c>
      <c r="B10" s="3">
        <v>160818</v>
      </c>
      <c r="C10" s="3" t="s">
        <v>418</v>
      </c>
      <c r="E10" s="99">
        <v>522</v>
      </c>
      <c r="F10" s="6" t="s">
        <v>413</v>
      </c>
      <c r="H10"/>
    </row>
    <row r="11" spans="1:8" x14ac:dyDescent="0.45">
      <c r="A11" s="125">
        <v>43620</v>
      </c>
      <c r="B11" s="3"/>
      <c r="C11" s="3" t="s">
        <v>419</v>
      </c>
      <c r="E11" s="99">
        <v>510</v>
      </c>
      <c r="F11" s="6" t="s">
        <v>413</v>
      </c>
      <c r="H11"/>
    </row>
    <row r="12" spans="1:8" x14ac:dyDescent="0.45">
      <c r="A12" s="125">
        <v>43620</v>
      </c>
      <c r="B12" s="3"/>
      <c r="C12" s="3" t="s">
        <v>420</v>
      </c>
      <c r="E12" s="99">
        <v>528</v>
      </c>
      <c r="F12" s="6" t="s">
        <v>413</v>
      </c>
    </row>
    <row r="13" spans="1:8" x14ac:dyDescent="0.45">
      <c r="A13" s="125">
        <v>43620</v>
      </c>
      <c r="B13" s="3">
        <v>160844</v>
      </c>
      <c r="C13" s="3" t="s">
        <v>421</v>
      </c>
      <c r="E13" s="99">
        <v>490</v>
      </c>
      <c r="F13" s="6" t="s">
        <v>413</v>
      </c>
    </row>
    <row r="14" spans="1:8" x14ac:dyDescent="0.45">
      <c r="A14" s="125">
        <v>43620</v>
      </c>
      <c r="B14" s="3">
        <v>150807</v>
      </c>
      <c r="C14" s="3" t="s">
        <v>422</v>
      </c>
      <c r="E14" s="99">
        <v>524</v>
      </c>
      <c r="F14" s="6" t="s">
        <v>413</v>
      </c>
    </row>
    <row r="15" spans="1:8" x14ac:dyDescent="0.45">
      <c r="A15" s="125">
        <v>43620</v>
      </c>
      <c r="B15" s="3">
        <v>150828</v>
      </c>
      <c r="C15" s="3" t="s">
        <v>423</v>
      </c>
      <c r="E15" s="99">
        <v>530</v>
      </c>
      <c r="F15" s="6" t="s">
        <v>413</v>
      </c>
    </row>
    <row r="16" spans="1:8" x14ac:dyDescent="0.45">
      <c r="A16" s="125">
        <v>43620</v>
      </c>
      <c r="B16" s="3">
        <v>160501</v>
      </c>
      <c r="C16" s="3" t="s">
        <v>424</v>
      </c>
      <c r="E16" s="99">
        <v>500</v>
      </c>
      <c r="F16" s="6" t="s">
        <v>413</v>
      </c>
    </row>
    <row r="17" spans="1:7" x14ac:dyDescent="0.45">
      <c r="A17" s="125">
        <v>43620</v>
      </c>
      <c r="B17" s="3">
        <v>160203</v>
      </c>
      <c r="C17" s="3" t="s">
        <v>425</v>
      </c>
      <c r="E17" s="99">
        <v>550</v>
      </c>
      <c r="F17" s="6" t="s">
        <v>413</v>
      </c>
    </row>
    <row r="18" spans="1:7" x14ac:dyDescent="0.45">
      <c r="A18" s="125">
        <v>43620</v>
      </c>
      <c r="B18" s="3">
        <v>151110</v>
      </c>
      <c r="C18" s="3" t="s">
        <v>426</v>
      </c>
      <c r="E18" s="99">
        <v>548</v>
      </c>
      <c r="F18" s="6" t="s">
        <v>413</v>
      </c>
    </row>
    <row r="19" spans="1:7" x14ac:dyDescent="0.45">
      <c r="A19" s="125">
        <v>43620</v>
      </c>
      <c r="B19" s="3">
        <v>150915</v>
      </c>
      <c r="C19" s="3" t="s">
        <v>427</v>
      </c>
      <c r="E19" s="99">
        <v>520</v>
      </c>
      <c r="F19" s="6" t="s">
        <v>413</v>
      </c>
    </row>
    <row r="20" spans="1:7" x14ac:dyDescent="0.45">
      <c r="A20" s="125">
        <v>43620</v>
      </c>
      <c r="B20" s="3">
        <v>151220</v>
      </c>
      <c r="C20" s="3" t="s">
        <v>428</v>
      </c>
      <c r="E20" s="99">
        <v>540</v>
      </c>
      <c r="F20" s="6" t="s">
        <v>413</v>
      </c>
    </row>
    <row r="21" spans="1:7" x14ac:dyDescent="0.45">
      <c r="A21" s="125">
        <v>43620</v>
      </c>
      <c r="B21" s="3">
        <v>151209</v>
      </c>
      <c r="C21" s="3" t="s">
        <v>429</v>
      </c>
      <c r="E21" s="99">
        <v>538</v>
      </c>
      <c r="F21" s="6" t="s">
        <v>413</v>
      </c>
    </row>
    <row r="22" spans="1:7" x14ac:dyDescent="0.45">
      <c r="A22" s="125">
        <v>43622</v>
      </c>
      <c r="B22" s="3">
        <v>8531</v>
      </c>
      <c r="D22" t="s">
        <v>139</v>
      </c>
      <c r="E22" s="99">
        <v>534</v>
      </c>
      <c r="F22" s="4" t="s">
        <v>430</v>
      </c>
      <c r="G22" s="101">
        <v>4750</v>
      </c>
    </row>
    <row r="23" spans="1:7" x14ac:dyDescent="0.45">
      <c r="A23" s="125">
        <v>43622</v>
      </c>
      <c r="B23" s="3">
        <v>8534</v>
      </c>
      <c r="D23" t="s">
        <v>141</v>
      </c>
      <c r="E23" s="99">
        <v>520</v>
      </c>
      <c r="F23" s="4" t="s">
        <v>430</v>
      </c>
      <c r="G23" s="101">
        <v>4750</v>
      </c>
    </row>
    <row r="24" spans="1:7" x14ac:dyDescent="0.45">
      <c r="A24" s="125">
        <v>43622</v>
      </c>
      <c r="B24" s="3">
        <v>8535</v>
      </c>
      <c r="D24" t="s">
        <v>9</v>
      </c>
      <c r="E24" s="99">
        <v>535</v>
      </c>
      <c r="F24" s="4" t="s">
        <v>430</v>
      </c>
      <c r="G24" s="101">
        <v>4750</v>
      </c>
    </row>
    <row r="25" spans="1:7" x14ac:dyDescent="0.45">
      <c r="A25" s="125">
        <v>43622</v>
      </c>
      <c r="B25" s="3">
        <v>8537</v>
      </c>
      <c r="D25" t="s">
        <v>36</v>
      </c>
      <c r="E25" s="99">
        <v>527</v>
      </c>
      <c r="F25" s="4" t="s">
        <v>430</v>
      </c>
      <c r="G25" s="101">
        <v>4750</v>
      </c>
    </row>
    <row r="26" spans="1:7" x14ac:dyDescent="0.45">
      <c r="A26" s="125">
        <v>43622</v>
      </c>
      <c r="B26" s="3">
        <v>8538</v>
      </c>
      <c r="D26" t="s">
        <v>9</v>
      </c>
      <c r="E26" s="99">
        <v>547</v>
      </c>
      <c r="F26" s="4" t="s">
        <v>430</v>
      </c>
      <c r="G26" s="101">
        <v>4750</v>
      </c>
    </row>
    <row r="27" spans="1:7" x14ac:dyDescent="0.45">
      <c r="A27" s="125">
        <v>43622</v>
      </c>
      <c r="B27" s="3">
        <v>8539</v>
      </c>
      <c r="D27" t="s">
        <v>143</v>
      </c>
      <c r="E27" s="99">
        <v>527</v>
      </c>
      <c r="F27" s="4" t="s">
        <v>430</v>
      </c>
      <c r="G27" s="101">
        <v>4750</v>
      </c>
    </row>
    <row r="28" spans="1:7" x14ac:dyDescent="0.45">
      <c r="A28" s="125">
        <v>43622</v>
      </c>
      <c r="B28" s="3">
        <v>8543</v>
      </c>
      <c r="D28" t="s">
        <v>144</v>
      </c>
      <c r="E28" s="99">
        <v>518</v>
      </c>
      <c r="F28" s="4" t="s">
        <v>430</v>
      </c>
      <c r="G28" s="101">
        <v>4750</v>
      </c>
    </row>
    <row r="29" spans="1:7" x14ac:dyDescent="0.45">
      <c r="A29" s="125">
        <v>43622</v>
      </c>
      <c r="B29" s="3">
        <v>8544</v>
      </c>
      <c r="D29" t="s">
        <v>9</v>
      </c>
      <c r="E29" s="99">
        <v>500</v>
      </c>
      <c r="F29" s="4" t="s">
        <v>430</v>
      </c>
      <c r="G29" s="101">
        <v>4750</v>
      </c>
    </row>
    <row r="30" spans="1:7" x14ac:dyDescent="0.45">
      <c r="A30" s="125">
        <v>43622</v>
      </c>
      <c r="B30" s="3">
        <v>8545</v>
      </c>
      <c r="D30" t="s">
        <v>9</v>
      </c>
      <c r="E30" s="99">
        <v>500</v>
      </c>
      <c r="F30" s="4" t="s">
        <v>430</v>
      </c>
      <c r="G30" s="101">
        <v>4750</v>
      </c>
    </row>
    <row r="31" spans="1:7" x14ac:dyDescent="0.45">
      <c r="A31" s="125">
        <v>43622</v>
      </c>
      <c r="B31" s="3">
        <v>8546</v>
      </c>
      <c r="D31" t="s">
        <v>145</v>
      </c>
      <c r="E31" s="99">
        <v>520</v>
      </c>
      <c r="F31" s="4" t="s">
        <v>430</v>
      </c>
      <c r="G31" s="101">
        <v>4750</v>
      </c>
    </row>
    <row r="32" spans="1:7" x14ac:dyDescent="0.45">
      <c r="A32" s="125">
        <v>43622</v>
      </c>
      <c r="B32" s="3">
        <v>8547</v>
      </c>
      <c r="D32" t="s">
        <v>19</v>
      </c>
      <c r="E32" s="99">
        <v>519</v>
      </c>
      <c r="F32" s="4" t="s">
        <v>430</v>
      </c>
      <c r="G32" s="101">
        <v>4750</v>
      </c>
    </row>
    <row r="33" spans="1:7" x14ac:dyDescent="0.45">
      <c r="A33" s="125">
        <v>43622</v>
      </c>
      <c r="B33" s="3">
        <v>8548</v>
      </c>
      <c r="D33" t="s">
        <v>125</v>
      </c>
      <c r="E33" s="99">
        <v>524</v>
      </c>
      <c r="F33" s="4" t="s">
        <v>430</v>
      </c>
      <c r="G33" s="101">
        <v>4750</v>
      </c>
    </row>
    <row r="34" spans="1:7" x14ac:dyDescent="0.45">
      <c r="A34" s="125">
        <v>43622</v>
      </c>
      <c r="B34" s="3">
        <v>8550</v>
      </c>
      <c r="D34" t="s">
        <v>19</v>
      </c>
      <c r="E34" s="99">
        <v>568</v>
      </c>
      <c r="F34" s="4" t="s">
        <v>430</v>
      </c>
      <c r="G34" s="101">
        <v>4750</v>
      </c>
    </row>
    <row r="35" spans="1:7" x14ac:dyDescent="0.45">
      <c r="A35" s="125">
        <v>43622</v>
      </c>
      <c r="B35" s="3">
        <v>8551</v>
      </c>
      <c r="D35" t="s">
        <v>97</v>
      </c>
      <c r="E35" s="99">
        <v>515</v>
      </c>
      <c r="F35" s="4" t="s">
        <v>430</v>
      </c>
      <c r="G35" s="101">
        <v>4750</v>
      </c>
    </row>
    <row r="36" spans="1:7" x14ac:dyDescent="0.45">
      <c r="A36" s="125">
        <v>43622</v>
      </c>
      <c r="B36" s="3">
        <v>8556</v>
      </c>
      <c r="D36" t="s">
        <v>12</v>
      </c>
      <c r="E36" s="99">
        <v>527</v>
      </c>
      <c r="F36" s="4" t="s">
        <v>430</v>
      </c>
      <c r="G36" s="101">
        <v>4750</v>
      </c>
    </row>
    <row r="37" spans="1:7" x14ac:dyDescent="0.45">
      <c r="A37" s="125">
        <v>43622</v>
      </c>
      <c r="B37" s="3">
        <v>8559</v>
      </c>
      <c r="D37" t="s">
        <v>102</v>
      </c>
      <c r="E37" s="99">
        <v>539</v>
      </c>
      <c r="F37" s="4" t="s">
        <v>430</v>
      </c>
      <c r="G37" s="101">
        <v>4750</v>
      </c>
    </row>
    <row r="38" spans="1:7" x14ac:dyDescent="0.45">
      <c r="A38" s="125">
        <v>43647</v>
      </c>
      <c r="B38" s="3">
        <v>8532</v>
      </c>
      <c r="D38" t="s">
        <v>140</v>
      </c>
      <c r="E38" s="99">
        <v>510</v>
      </c>
      <c r="F38" s="4" t="s">
        <v>430</v>
      </c>
      <c r="G38" s="100">
        <v>4700</v>
      </c>
    </row>
    <row r="39" spans="1:7" x14ac:dyDescent="0.45">
      <c r="A39" s="125">
        <v>43647</v>
      </c>
      <c r="B39" s="3">
        <v>8536</v>
      </c>
      <c r="D39" t="s">
        <v>142</v>
      </c>
      <c r="E39" s="99">
        <v>532</v>
      </c>
      <c r="F39" s="4" t="s">
        <v>430</v>
      </c>
      <c r="G39" s="100">
        <v>4700</v>
      </c>
    </row>
    <row r="40" spans="1:7" x14ac:dyDescent="0.45">
      <c r="A40" s="125">
        <v>43647</v>
      </c>
      <c r="B40" s="3">
        <v>8541</v>
      </c>
      <c r="D40" t="s">
        <v>26</v>
      </c>
      <c r="E40" s="99">
        <v>512</v>
      </c>
      <c r="F40" s="4" t="s">
        <v>430</v>
      </c>
      <c r="G40" s="100">
        <v>4700</v>
      </c>
    </row>
    <row r="41" spans="1:7" x14ac:dyDescent="0.45">
      <c r="A41" s="125">
        <v>43647</v>
      </c>
      <c r="B41" s="3">
        <v>8542</v>
      </c>
      <c r="D41" t="s">
        <v>16</v>
      </c>
      <c r="E41" s="99">
        <v>500</v>
      </c>
      <c r="F41" s="4" t="s">
        <v>430</v>
      </c>
      <c r="G41" s="100">
        <v>4700</v>
      </c>
    </row>
    <row r="42" spans="1:7" x14ac:dyDescent="0.45">
      <c r="A42" s="125">
        <v>43647</v>
      </c>
      <c r="B42" s="3">
        <v>8553</v>
      </c>
      <c r="D42" t="s">
        <v>101</v>
      </c>
      <c r="E42" s="99">
        <v>509</v>
      </c>
      <c r="F42" s="4" t="s">
        <v>430</v>
      </c>
      <c r="G42" s="100">
        <v>4700</v>
      </c>
    </row>
    <row r="43" spans="1:7" x14ac:dyDescent="0.45">
      <c r="A43" s="125">
        <v>43647</v>
      </c>
      <c r="B43" s="3">
        <v>8554</v>
      </c>
      <c r="D43" t="s">
        <v>146</v>
      </c>
      <c r="E43" s="99">
        <v>480</v>
      </c>
      <c r="F43" s="4" t="s">
        <v>430</v>
      </c>
      <c r="G43" s="100">
        <v>4700</v>
      </c>
    </row>
    <row r="44" spans="1:7" x14ac:dyDescent="0.45">
      <c r="A44" s="125">
        <v>43647</v>
      </c>
      <c r="B44" s="3">
        <v>8560</v>
      </c>
      <c r="C44" s="3"/>
      <c r="E44" s="99">
        <v>504</v>
      </c>
      <c r="F44" s="4" t="s">
        <v>430</v>
      </c>
      <c r="G44" s="100">
        <v>4700</v>
      </c>
    </row>
    <row r="45" spans="1:7" x14ac:dyDescent="0.45">
      <c r="A45" s="125">
        <v>43647</v>
      </c>
      <c r="E45" s="99">
        <v>496</v>
      </c>
      <c r="F45" s="9" t="s">
        <v>430</v>
      </c>
      <c r="G45" s="100">
        <v>4700</v>
      </c>
    </row>
    <row r="46" spans="1:7" x14ac:dyDescent="0.45">
      <c r="A46" s="125">
        <v>43647</v>
      </c>
      <c r="B46" s="3">
        <v>160519</v>
      </c>
      <c r="C46" s="3" t="s">
        <v>431</v>
      </c>
      <c r="E46" s="99">
        <v>530</v>
      </c>
      <c r="F46" s="9" t="s">
        <v>430</v>
      </c>
      <c r="G46" s="100">
        <v>4700</v>
      </c>
    </row>
    <row r="47" spans="1:7" x14ac:dyDescent="0.45">
      <c r="A47" s="125">
        <v>43647</v>
      </c>
      <c r="B47" s="3"/>
      <c r="C47" s="3" t="s">
        <v>432</v>
      </c>
      <c r="E47" s="99">
        <v>546</v>
      </c>
      <c r="F47" s="9" t="s">
        <v>430</v>
      </c>
      <c r="G47" s="100">
        <v>4700</v>
      </c>
    </row>
    <row r="48" spans="1:7" x14ac:dyDescent="0.45">
      <c r="A48" s="125">
        <v>43647</v>
      </c>
      <c r="B48" s="3">
        <v>160509</v>
      </c>
      <c r="C48" s="3" t="s">
        <v>433</v>
      </c>
      <c r="E48" s="99">
        <v>492</v>
      </c>
      <c r="F48" s="9" t="s">
        <v>430</v>
      </c>
      <c r="G48" s="100">
        <v>4700</v>
      </c>
    </row>
    <row r="49" spans="1:10" x14ac:dyDescent="0.45">
      <c r="A49" s="125">
        <v>43647</v>
      </c>
      <c r="B49" s="3">
        <v>160219</v>
      </c>
      <c r="C49" s="3" t="s">
        <v>434</v>
      </c>
      <c r="E49" s="99">
        <v>494</v>
      </c>
      <c r="F49" s="9" t="s">
        <v>430</v>
      </c>
      <c r="G49" s="100">
        <v>4700</v>
      </c>
    </row>
    <row r="50" spans="1:10" x14ac:dyDescent="0.45">
      <c r="A50" s="125">
        <v>43647</v>
      </c>
      <c r="B50" s="3">
        <v>150918</v>
      </c>
      <c r="C50" s="3" t="s">
        <v>435</v>
      </c>
      <c r="E50" s="99">
        <v>500</v>
      </c>
      <c r="F50" s="9" t="s">
        <v>430</v>
      </c>
      <c r="G50" s="100">
        <v>4700</v>
      </c>
    </row>
    <row r="51" spans="1:10" x14ac:dyDescent="0.45">
      <c r="A51" s="125">
        <v>43647</v>
      </c>
      <c r="B51" s="3">
        <v>151101</v>
      </c>
      <c r="C51" s="3" t="s">
        <v>436</v>
      </c>
      <c r="E51" s="99">
        <v>502</v>
      </c>
      <c r="F51" s="9" t="s">
        <v>430</v>
      </c>
      <c r="G51" s="100">
        <v>4700</v>
      </c>
    </row>
    <row r="52" spans="1:10" x14ac:dyDescent="0.45">
      <c r="A52" s="125">
        <v>43647</v>
      </c>
      <c r="B52" s="3">
        <v>160110</v>
      </c>
      <c r="C52" s="3" t="s">
        <v>437</v>
      </c>
      <c r="D52" s="39"/>
      <c r="E52" s="99">
        <v>530</v>
      </c>
      <c r="F52" s="9" t="s">
        <v>430</v>
      </c>
      <c r="G52" s="100">
        <v>4700</v>
      </c>
    </row>
    <row r="53" spans="1:10" x14ac:dyDescent="0.45">
      <c r="A53" s="125">
        <v>43647</v>
      </c>
      <c r="B53" s="3">
        <v>160221</v>
      </c>
      <c r="C53" s="3" t="s">
        <v>438</v>
      </c>
      <c r="E53" s="99">
        <v>510</v>
      </c>
      <c r="F53" s="9" t="s">
        <v>430</v>
      </c>
      <c r="G53" s="100">
        <v>4700</v>
      </c>
    </row>
    <row r="54" spans="1:10" x14ac:dyDescent="0.45">
      <c r="A54" s="125">
        <v>43680</v>
      </c>
      <c r="B54" s="40">
        <v>150909</v>
      </c>
      <c r="C54" s="40" t="s">
        <v>407</v>
      </c>
      <c r="D54" s="40"/>
      <c r="E54" s="40">
        <v>520</v>
      </c>
      <c r="F54" s="40" t="s">
        <v>430</v>
      </c>
      <c r="G54" s="100">
        <v>4750</v>
      </c>
    </row>
    <row r="55" spans="1:10" x14ac:dyDescent="0.45">
      <c r="A55" s="125">
        <v>43680</v>
      </c>
      <c r="B55" s="9">
        <v>160301</v>
      </c>
      <c r="E55" s="9">
        <v>535</v>
      </c>
      <c r="F55" s="40" t="s">
        <v>430</v>
      </c>
      <c r="G55" s="100">
        <v>4750</v>
      </c>
    </row>
    <row r="56" spans="1:10" x14ac:dyDescent="0.45">
      <c r="A56" s="125">
        <v>43680</v>
      </c>
      <c r="B56" s="31">
        <v>160113</v>
      </c>
      <c r="E56" s="9">
        <v>538</v>
      </c>
      <c r="F56" s="40" t="s">
        <v>430</v>
      </c>
      <c r="G56" s="100">
        <v>4750</v>
      </c>
    </row>
    <row r="57" spans="1:10" x14ac:dyDescent="0.45">
      <c r="A57" s="125">
        <v>43680</v>
      </c>
      <c r="B57" s="9" t="s">
        <v>34</v>
      </c>
      <c r="E57" s="9">
        <v>517</v>
      </c>
      <c r="F57" s="40" t="s">
        <v>430</v>
      </c>
      <c r="G57" s="100">
        <v>4750</v>
      </c>
    </row>
    <row r="58" spans="1:10" x14ac:dyDescent="0.45">
      <c r="A58" s="125">
        <v>43680</v>
      </c>
      <c r="B58" s="9" t="s">
        <v>439</v>
      </c>
      <c r="D58" s="9"/>
      <c r="E58" s="9">
        <v>533</v>
      </c>
      <c r="F58" s="40" t="s">
        <v>430</v>
      </c>
      <c r="G58" s="100">
        <v>4750</v>
      </c>
    </row>
    <row r="59" spans="1:10" x14ac:dyDescent="0.45">
      <c r="A59" s="125">
        <v>43680</v>
      </c>
      <c r="B59" s="9" t="s">
        <v>440</v>
      </c>
      <c r="E59" s="9">
        <v>512</v>
      </c>
      <c r="F59" s="40" t="s">
        <v>430</v>
      </c>
      <c r="G59" s="100">
        <v>4750</v>
      </c>
    </row>
    <row r="60" spans="1:10" x14ac:dyDescent="0.45">
      <c r="A60" s="125">
        <v>43680</v>
      </c>
      <c r="B60" s="9">
        <v>151216</v>
      </c>
      <c r="E60" s="9">
        <v>510</v>
      </c>
      <c r="F60" s="40" t="s">
        <v>430</v>
      </c>
      <c r="G60" s="100">
        <v>4750</v>
      </c>
    </row>
    <row r="61" spans="1:10" x14ac:dyDescent="0.45">
      <c r="A61" s="125">
        <v>43680</v>
      </c>
      <c r="B61" s="9">
        <v>160223</v>
      </c>
      <c r="E61" s="9">
        <v>523</v>
      </c>
      <c r="F61" s="40" t="s">
        <v>430</v>
      </c>
      <c r="G61" s="100">
        <v>4750</v>
      </c>
    </row>
    <row r="62" spans="1:10" x14ac:dyDescent="0.45">
      <c r="A62" s="125">
        <v>43680</v>
      </c>
      <c r="B62" s="9">
        <v>160215</v>
      </c>
      <c r="E62" s="9">
        <v>559</v>
      </c>
      <c r="F62" s="40" t="s">
        <v>430</v>
      </c>
      <c r="G62" s="100">
        <v>4750</v>
      </c>
    </row>
    <row r="63" spans="1:10" x14ac:dyDescent="0.45">
      <c r="A63" s="125">
        <v>43680</v>
      </c>
      <c r="B63" s="9">
        <v>151008</v>
      </c>
      <c r="E63" s="9">
        <v>512</v>
      </c>
      <c r="F63" s="40" t="s">
        <v>430</v>
      </c>
      <c r="G63" s="100">
        <v>4750</v>
      </c>
    </row>
    <row r="64" spans="1:10" x14ac:dyDescent="0.45">
      <c r="A64" s="125">
        <v>43680</v>
      </c>
      <c r="B64" s="31">
        <v>8486</v>
      </c>
      <c r="C64" s="6"/>
      <c r="D64" s="9"/>
      <c r="E64" s="9">
        <v>520</v>
      </c>
      <c r="F64" s="40" t="s">
        <v>430</v>
      </c>
      <c r="G64" s="100">
        <v>4750</v>
      </c>
      <c r="I64" s="10"/>
      <c r="J64" s="4"/>
    </row>
    <row r="65" spans="1:9" x14ac:dyDescent="0.45">
      <c r="A65" s="125">
        <v>43680</v>
      </c>
      <c r="B65" s="9">
        <v>9227</v>
      </c>
      <c r="E65" s="9">
        <v>490</v>
      </c>
      <c r="F65" s="40" t="s">
        <v>430</v>
      </c>
      <c r="G65" s="100">
        <v>4750</v>
      </c>
    </row>
    <row r="66" spans="1:9" x14ac:dyDescent="0.45">
      <c r="A66" s="125">
        <v>43680</v>
      </c>
      <c r="B66" s="9">
        <v>9209</v>
      </c>
      <c r="E66" s="9">
        <v>500</v>
      </c>
      <c r="F66" s="40" t="s">
        <v>430</v>
      </c>
      <c r="G66" s="100">
        <v>4750</v>
      </c>
    </row>
    <row r="67" spans="1:9" x14ac:dyDescent="0.45">
      <c r="A67" s="125">
        <v>43680</v>
      </c>
      <c r="B67" s="9">
        <v>9216</v>
      </c>
      <c r="E67" s="9">
        <v>493</v>
      </c>
      <c r="F67" s="40" t="s">
        <v>430</v>
      </c>
      <c r="G67" s="100">
        <v>4750</v>
      </c>
    </row>
    <row r="68" spans="1:9" x14ac:dyDescent="0.45">
      <c r="A68" s="125">
        <v>43680</v>
      </c>
      <c r="B68" s="9">
        <v>9210</v>
      </c>
      <c r="E68" s="9">
        <v>510</v>
      </c>
      <c r="F68" s="40" t="s">
        <v>430</v>
      </c>
      <c r="G68" s="100">
        <v>4750</v>
      </c>
    </row>
    <row r="69" spans="1:9" x14ac:dyDescent="0.45">
      <c r="A69" s="125">
        <v>43680</v>
      </c>
      <c r="B69" s="9">
        <v>84109</v>
      </c>
      <c r="E69" s="9">
        <v>522</v>
      </c>
      <c r="F69" s="40" t="s">
        <v>430</v>
      </c>
      <c r="G69" s="100">
        <v>4750</v>
      </c>
    </row>
    <row r="70" spans="1:9" x14ac:dyDescent="0.45">
      <c r="A70" s="125">
        <v>43701</v>
      </c>
      <c r="B70" s="3">
        <v>150613</v>
      </c>
      <c r="C70" s="3"/>
      <c r="D70" s="9"/>
      <c r="E70" s="3">
        <v>543</v>
      </c>
      <c r="F70" s="40" t="s">
        <v>430</v>
      </c>
      <c r="G70" s="100">
        <v>4750</v>
      </c>
    </row>
    <row r="71" spans="1:9" x14ac:dyDescent="0.45">
      <c r="A71" s="125">
        <v>43701</v>
      </c>
      <c r="B71" s="9">
        <v>17627</v>
      </c>
      <c r="E71" s="9">
        <v>500</v>
      </c>
      <c r="F71" s="40" t="s">
        <v>430</v>
      </c>
      <c r="G71" s="100">
        <v>4750</v>
      </c>
    </row>
    <row r="72" spans="1:9" x14ac:dyDescent="0.45">
      <c r="A72" s="125">
        <v>43701</v>
      </c>
      <c r="B72" s="9">
        <v>160208</v>
      </c>
      <c r="E72" s="9">
        <v>520</v>
      </c>
      <c r="F72" s="40" t="s">
        <v>430</v>
      </c>
      <c r="G72" s="100">
        <v>4750</v>
      </c>
    </row>
    <row r="73" spans="1:9" x14ac:dyDescent="0.45">
      <c r="A73" s="125">
        <v>43701</v>
      </c>
      <c r="B73" s="9">
        <v>151218</v>
      </c>
      <c r="E73" s="9">
        <v>510</v>
      </c>
      <c r="F73" s="40" t="s">
        <v>430</v>
      </c>
      <c r="G73" s="100">
        <v>4750</v>
      </c>
    </row>
    <row r="74" spans="1:9" x14ac:dyDescent="0.45">
      <c r="A74" s="125">
        <v>43701</v>
      </c>
      <c r="B74" s="9">
        <v>8533</v>
      </c>
      <c r="E74" s="9">
        <v>510</v>
      </c>
      <c r="F74" s="40" t="s">
        <v>430</v>
      </c>
      <c r="G74" s="100">
        <v>4750</v>
      </c>
    </row>
    <row r="75" spans="1:9" x14ac:dyDescent="0.45">
      <c r="A75" s="125">
        <v>43701</v>
      </c>
      <c r="B75" s="9" t="s">
        <v>30</v>
      </c>
      <c r="E75" s="9">
        <v>515</v>
      </c>
      <c r="F75" s="40" t="s">
        <v>430</v>
      </c>
      <c r="G75" s="100">
        <v>4750</v>
      </c>
    </row>
    <row r="76" spans="1:9" x14ac:dyDescent="0.45">
      <c r="A76" s="125">
        <v>43701</v>
      </c>
      <c r="B76" s="9">
        <v>81201</v>
      </c>
      <c r="E76" s="9">
        <v>413</v>
      </c>
      <c r="F76" s="40" t="s">
        <v>430</v>
      </c>
      <c r="G76" s="100">
        <v>4750</v>
      </c>
    </row>
    <row r="77" spans="1:9" x14ac:dyDescent="0.45">
      <c r="A77" s="125">
        <v>43701</v>
      </c>
      <c r="B77" s="3">
        <v>160842</v>
      </c>
      <c r="C77" s="3"/>
      <c r="D77" s="9"/>
      <c r="E77" s="3">
        <v>500</v>
      </c>
      <c r="F77" s="40" t="s">
        <v>430</v>
      </c>
      <c r="G77" s="100">
        <v>4750</v>
      </c>
      <c r="H77" s="103"/>
      <c r="I77" s="104"/>
    </row>
    <row r="78" spans="1:9" x14ac:dyDescent="0.45">
      <c r="A78" s="125">
        <v>43701</v>
      </c>
      <c r="B78" s="3">
        <v>150612</v>
      </c>
      <c r="C78" s="3"/>
      <c r="D78" s="9"/>
      <c r="E78" s="3">
        <v>528</v>
      </c>
      <c r="F78" s="40" t="s">
        <v>430</v>
      </c>
      <c r="G78" s="100">
        <v>4750</v>
      </c>
      <c r="H78" s="103"/>
      <c r="I78" s="104"/>
    </row>
    <row r="79" spans="1:9" x14ac:dyDescent="0.45">
      <c r="A79" s="125">
        <v>43701</v>
      </c>
      <c r="B79" s="3">
        <v>160206</v>
      </c>
      <c r="C79" s="3"/>
      <c r="D79" s="9"/>
      <c r="E79" s="3">
        <v>511</v>
      </c>
      <c r="F79" s="40" t="s">
        <v>430</v>
      </c>
      <c r="G79" s="100">
        <v>4750</v>
      </c>
      <c r="H79" s="103"/>
      <c r="I79" s="104"/>
    </row>
    <row r="80" spans="1:9" x14ac:dyDescent="0.45">
      <c r="A80" s="125">
        <v>43701</v>
      </c>
      <c r="B80" s="3">
        <v>150826</v>
      </c>
      <c r="C80" s="3"/>
      <c r="D80" s="9"/>
      <c r="E80" s="3">
        <v>520</v>
      </c>
      <c r="F80" s="40" t="s">
        <v>430</v>
      </c>
      <c r="G80" s="100">
        <v>4750</v>
      </c>
      <c r="H80" s="103"/>
      <c r="I80" s="104"/>
    </row>
    <row r="81" spans="1:9" x14ac:dyDescent="0.45">
      <c r="A81" s="125">
        <v>43701</v>
      </c>
      <c r="B81" s="3">
        <v>160218</v>
      </c>
      <c r="C81" s="3"/>
      <c r="D81" s="9"/>
      <c r="E81" s="3">
        <v>530</v>
      </c>
      <c r="F81" s="40" t="s">
        <v>430</v>
      </c>
      <c r="G81" s="100">
        <v>4750</v>
      </c>
      <c r="H81" s="103"/>
      <c r="I81" s="104"/>
    </row>
    <row r="82" spans="1:9" x14ac:dyDescent="0.45">
      <c r="A82" s="125">
        <v>43701</v>
      </c>
      <c r="B82" s="3">
        <v>160120</v>
      </c>
      <c r="C82" s="3"/>
      <c r="D82" s="9"/>
      <c r="E82" s="3">
        <v>510</v>
      </c>
      <c r="F82" s="40" t="s">
        <v>430</v>
      </c>
      <c r="G82" s="100">
        <v>4750</v>
      </c>
      <c r="H82" s="103"/>
      <c r="I82" s="104"/>
    </row>
    <row r="83" spans="1:9" x14ac:dyDescent="0.45">
      <c r="A83" s="125">
        <v>43701</v>
      </c>
      <c r="B83" s="3">
        <v>151227</v>
      </c>
      <c r="C83" s="3"/>
      <c r="D83" s="9"/>
      <c r="E83" s="3">
        <v>530</v>
      </c>
      <c r="F83" s="40" t="s">
        <v>430</v>
      </c>
      <c r="G83" s="100">
        <v>4750</v>
      </c>
      <c r="H83" s="103"/>
      <c r="I83" s="104"/>
    </row>
    <row r="84" spans="1:9" x14ac:dyDescent="0.45">
      <c r="A84" s="125">
        <v>43701</v>
      </c>
      <c r="B84" s="3">
        <v>150506</v>
      </c>
      <c r="C84" s="3"/>
      <c r="D84" s="9"/>
      <c r="E84" s="3">
        <v>521</v>
      </c>
      <c r="F84" s="40" t="s">
        <v>430</v>
      </c>
      <c r="G84" s="100">
        <v>4750</v>
      </c>
      <c r="H84" s="103"/>
      <c r="I84" s="104"/>
    </row>
    <row r="85" spans="1:9" x14ac:dyDescent="0.45">
      <c r="A85" s="125">
        <v>43701</v>
      </c>
      <c r="B85" s="9">
        <v>8558</v>
      </c>
      <c r="E85" s="9">
        <v>528</v>
      </c>
      <c r="F85" s="40" t="s">
        <v>430</v>
      </c>
      <c r="G85" s="100">
        <v>4750</v>
      </c>
    </row>
    <row r="86" spans="1:9" x14ac:dyDescent="0.45">
      <c r="A86" s="125">
        <v>43745</v>
      </c>
      <c r="B86" s="9">
        <v>9331</v>
      </c>
      <c r="C86" s="6"/>
      <c r="E86" s="9">
        <v>518</v>
      </c>
      <c r="F86" s="40" t="s">
        <v>430</v>
      </c>
      <c r="G86" s="100">
        <v>4600</v>
      </c>
    </row>
    <row r="87" spans="1:9" x14ac:dyDescent="0.45">
      <c r="A87" s="125">
        <v>43745</v>
      </c>
      <c r="B87" s="3">
        <v>150713</v>
      </c>
      <c r="C87" s="3"/>
      <c r="D87" s="9"/>
      <c r="E87" s="3">
        <v>484</v>
      </c>
      <c r="F87" s="40" t="s">
        <v>430</v>
      </c>
      <c r="G87" s="100">
        <v>4600</v>
      </c>
    </row>
    <row r="88" spans="1:9" x14ac:dyDescent="0.45">
      <c r="A88" s="125">
        <v>43745</v>
      </c>
      <c r="B88" s="3">
        <v>160401</v>
      </c>
      <c r="C88" s="3"/>
      <c r="D88" s="9"/>
      <c r="E88" s="3">
        <v>516</v>
      </c>
      <c r="F88" s="40" t="s">
        <v>430</v>
      </c>
      <c r="G88" s="100">
        <v>4600</v>
      </c>
    </row>
    <row r="89" spans="1:9" x14ac:dyDescent="0.45">
      <c r="A89" s="125">
        <v>43745</v>
      </c>
      <c r="B89" s="9">
        <v>84105</v>
      </c>
      <c r="E89" s="9">
        <v>490</v>
      </c>
      <c r="F89" s="40" t="s">
        <v>430</v>
      </c>
      <c r="G89" s="100">
        <v>4600</v>
      </c>
    </row>
    <row r="90" spans="1:9" x14ac:dyDescent="0.45">
      <c r="A90" s="125">
        <v>43745</v>
      </c>
      <c r="B90" s="9">
        <v>8403</v>
      </c>
      <c r="C90" s="6"/>
      <c r="E90" s="9">
        <v>508</v>
      </c>
      <c r="F90" s="40" t="s">
        <v>430</v>
      </c>
      <c r="G90" s="100">
        <v>4600</v>
      </c>
    </row>
    <row r="91" spans="1:9" x14ac:dyDescent="0.45">
      <c r="A91" s="125">
        <v>43745</v>
      </c>
      <c r="B91" s="9" t="s">
        <v>510</v>
      </c>
      <c r="E91" s="9">
        <v>500</v>
      </c>
      <c r="F91" s="40" t="s">
        <v>430</v>
      </c>
      <c r="G91" s="100">
        <v>4600</v>
      </c>
    </row>
    <row r="92" spans="1:9" x14ac:dyDescent="0.45">
      <c r="A92" s="125">
        <v>43745</v>
      </c>
      <c r="C92" s="41" t="s">
        <v>337</v>
      </c>
      <c r="D92" s="71"/>
      <c r="E92" s="41">
        <v>518</v>
      </c>
      <c r="F92" s="40" t="s">
        <v>430</v>
      </c>
      <c r="G92" s="100">
        <v>4600</v>
      </c>
    </row>
    <row r="93" spans="1:9" x14ac:dyDescent="0.45">
      <c r="A93" s="125">
        <v>43745</v>
      </c>
      <c r="B93" s="41">
        <v>160511</v>
      </c>
      <c r="C93" s="41" t="s">
        <v>355</v>
      </c>
      <c r="D93" s="71"/>
      <c r="E93" s="9">
        <v>508</v>
      </c>
      <c r="F93" s="40" t="s">
        <v>430</v>
      </c>
      <c r="G93" s="100">
        <v>4600</v>
      </c>
    </row>
    <row r="94" spans="1:9" x14ac:dyDescent="0.45">
      <c r="A94" s="125">
        <v>43745</v>
      </c>
      <c r="B94" s="41">
        <v>160820</v>
      </c>
      <c r="C94" s="41" t="s">
        <v>354</v>
      </c>
      <c r="D94" s="71"/>
      <c r="E94" s="9">
        <v>504</v>
      </c>
      <c r="F94" s="40" t="s">
        <v>430</v>
      </c>
      <c r="G94" s="100">
        <v>4600</v>
      </c>
    </row>
    <row r="95" spans="1:9" x14ac:dyDescent="0.45">
      <c r="A95" s="125">
        <v>43745</v>
      </c>
      <c r="B95" s="41">
        <v>160833</v>
      </c>
      <c r="C95" s="41" t="s">
        <v>340</v>
      </c>
      <c r="D95" s="71"/>
      <c r="E95" s="9">
        <v>510</v>
      </c>
      <c r="F95" s="40" t="s">
        <v>430</v>
      </c>
      <c r="G95" s="100">
        <v>4600</v>
      </c>
    </row>
    <row r="96" spans="1:9" x14ac:dyDescent="0.45">
      <c r="A96" s="125">
        <v>43745</v>
      </c>
      <c r="B96" s="41">
        <v>160710</v>
      </c>
      <c r="C96" s="41" t="s">
        <v>349</v>
      </c>
      <c r="D96" s="71"/>
      <c r="E96" s="41">
        <v>514</v>
      </c>
      <c r="F96" s="40" t="s">
        <v>430</v>
      </c>
      <c r="G96" s="100">
        <v>4600</v>
      </c>
    </row>
    <row r="97" spans="1:7" x14ac:dyDescent="0.45">
      <c r="A97" s="125">
        <v>43745</v>
      </c>
      <c r="C97" s="41" t="s">
        <v>352</v>
      </c>
      <c r="D97" s="71"/>
      <c r="E97" s="41">
        <v>494</v>
      </c>
      <c r="F97" s="40" t="s">
        <v>430</v>
      </c>
      <c r="G97" s="100">
        <v>4600</v>
      </c>
    </row>
    <row r="98" spans="1:7" x14ac:dyDescent="0.45">
      <c r="A98" s="125">
        <v>43745</v>
      </c>
      <c r="B98" s="41">
        <v>160815</v>
      </c>
      <c r="C98" s="41" t="s">
        <v>351</v>
      </c>
      <c r="D98" s="71"/>
      <c r="E98" s="9">
        <v>514</v>
      </c>
      <c r="F98" s="40" t="s">
        <v>430</v>
      </c>
      <c r="G98" s="100">
        <v>4600</v>
      </c>
    </row>
    <row r="99" spans="1:7" x14ac:dyDescent="0.45">
      <c r="A99" s="125">
        <v>43745</v>
      </c>
      <c r="B99" s="41">
        <v>160812</v>
      </c>
      <c r="C99" s="41" t="s">
        <v>331</v>
      </c>
      <c r="D99" s="71"/>
      <c r="E99" s="41">
        <v>494</v>
      </c>
      <c r="F99" s="40" t="s">
        <v>430</v>
      </c>
      <c r="G99" s="100">
        <v>4600</v>
      </c>
    </row>
    <row r="100" spans="1:7" x14ac:dyDescent="0.45">
      <c r="A100" s="125">
        <v>43745</v>
      </c>
      <c r="B100" s="41">
        <v>160802</v>
      </c>
      <c r="C100" s="41" t="s">
        <v>332</v>
      </c>
      <c r="D100" s="71"/>
      <c r="E100" s="31">
        <v>526</v>
      </c>
      <c r="F100" s="40" t="s">
        <v>430</v>
      </c>
      <c r="G100" s="100">
        <v>4600</v>
      </c>
    </row>
    <row r="101" spans="1:7" x14ac:dyDescent="0.45">
      <c r="A101" s="125">
        <v>43785</v>
      </c>
      <c r="B101" s="9">
        <v>160832</v>
      </c>
      <c r="C101" s="41" t="s">
        <v>345</v>
      </c>
      <c r="D101" s="71"/>
      <c r="E101" s="41">
        <v>518</v>
      </c>
      <c r="F101" s="9" t="s">
        <v>430</v>
      </c>
      <c r="G101" s="100">
        <v>4650</v>
      </c>
    </row>
    <row r="102" spans="1:7" x14ac:dyDescent="0.45">
      <c r="A102" s="125">
        <v>43785</v>
      </c>
      <c r="C102" s="9" t="s">
        <v>516</v>
      </c>
      <c r="E102" s="9">
        <v>498</v>
      </c>
      <c r="F102" s="9" t="s">
        <v>430</v>
      </c>
      <c r="G102" s="100">
        <v>4650</v>
      </c>
    </row>
    <row r="103" spans="1:7" x14ac:dyDescent="0.45">
      <c r="A103" s="125">
        <v>43785</v>
      </c>
      <c r="C103" s="9" t="s">
        <v>517</v>
      </c>
      <c r="E103" s="9">
        <v>544</v>
      </c>
      <c r="F103" s="9" t="s">
        <v>430</v>
      </c>
      <c r="G103" s="100">
        <v>4650</v>
      </c>
    </row>
    <row r="104" spans="1:7" x14ac:dyDescent="0.45">
      <c r="A104" s="125">
        <v>43785</v>
      </c>
      <c r="B104" s="3">
        <v>160841</v>
      </c>
      <c r="C104" s="3" t="s">
        <v>28</v>
      </c>
      <c r="D104" s="27"/>
      <c r="E104" s="9">
        <v>500</v>
      </c>
      <c r="F104" s="9" t="s">
        <v>430</v>
      </c>
      <c r="G104" s="100">
        <v>4650</v>
      </c>
    </row>
    <row r="105" spans="1:7" x14ac:dyDescent="0.45">
      <c r="A105" s="125">
        <v>43785</v>
      </c>
      <c r="B105" s="3"/>
      <c r="C105" s="3" t="s">
        <v>29</v>
      </c>
      <c r="D105" s="27"/>
      <c r="E105" s="9">
        <v>500</v>
      </c>
      <c r="F105" s="9" t="s">
        <v>430</v>
      </c>
      <c r="G105" s="100">
        <v>4650</v>
      </c>
    </row>
    <row r="106" spans="1:7" x14ac:dyDescent="0.45">
      <c r="A106" s="125">
        <v>43785</v>
      </c>
      <c r="B106" s="3">
        <v>160403</v>
      </c>
      <c r="C106" s="3" t="s">
        <v>31</v>
      </c>
      <c r="D106" s="27"/>
      <c r="E106" s="9">
        <v>525</v>
      </c>
      <c r="F106" s="9" t="s">
        <v>430</v>
      </c>
      <c r="G106" s="100">
        <v>4650</v>
      </c>
    </row>
    <row r="107" spans="1:7" x14ac:dyDescent="0.45">
      <c r="A107" s="125">
        <v>43785</v>
      </c>
      <c r="B107" s="3">
        <v>160404</v>
      </c>
      <c r="C107" s="3" t="s">
        <v>32</v>
      </c>
      <c r="D107" s="27"/>
      <c r="E107" s="9">
        <v>504</v>
      </c>
      <c r="F107" s="9" t="s">
        <v>430</v>
      </c>
      <c r="G107" s="100">
        <v>4650</v>
      </c>
    </row>
    <row r="108" spans="1:7" x14ac:dyDescent="0.45">
      <c r="A108" s="125">
        <v>43785</v>
      </c>
      <c r="B108" s="93">
        <v>160520</v>
      </c>
      <c r="C108" s="93"/>
      <c r="D108" s="27"/>
      <c r="E108" s="31">
        <v>528</v>
      </c>
      <c r="F108" s="9" t="s">
        <v>430</v>
      </c>
      <c r="G108" s="100">
        <v>4650</v>
      </c>
    </row>
    <row r="109" spans="1:7" x14ac:dyDescent="0.45">
      <c r="A109" s="125">
        <v>43785</v>
      </c>
      <c r="B109" s="3">
        <v>160114</v>
      </c>
      <c r="C109" s="3" t="s">
        <v>33</v>
      </c>
      <c r="D109" s="27"/>
      <c r="E109" s="9">
        <v>500</v>
      </c>
      <c r="F109" s="9" t="s">
        <v>430</v>
      </c>
      <c r="G109" s="100">
        <v>4650</v>
      </c>
    </row>
    <row r="110" spans="1:7" x14ac:dyDescent="0.45">
      <c r="A110" s="125">
        <v>43785</v>
      </c>
      <c r="B110" s="40">
        <v>160100</v>
      </c>
      <c r="C110" s="40"/>
      <c r="D110" s="27"/>
      <c r="E110" s="40">
        <v>490</v>
      </c>
      <c r="F110" s="9" t="s">
        <v>430</v>
      </c>
      <c r="G110" s="100">
        <v>4650</v>
      </c>
    </row>
    <row r="111" spans="1:7" x14ac:dyDescent="0.45">
      <c r="A111" s="125">
        <v>43785</v>
      </c>
      <c r="B111" s="40">
        <v>8549</v>
      </c>
      <c r="C111" s="40"/>
      <c r="D111" s="27"/>
      <c r="E111" s="40">
        <v>524</v>
      </c>
      <c r="F111" s="9" t="s">
        <v>430</v>
      </c>
      <c r="G111" s="100">
        <v>4650</v>
      </c>
    </row>
    <row r="112" spans="1:7" x14ac:dyDescent="0.45">
      <c r="A112" s="125">
        <v>43785</v>
      </c>
      <c r="B112" s="40">
        <v>8555</v>
      </c>
      <c r="C112" s="102"/>
      <c r="D112" s="27"/>
      <c r="E112" s="40">
        <v>497</v>
      </c>
      <c r="F112" s="9" t="s">
        <v>430</v>
      </c>
      <c r="G112" s="100">
        <v>4650</v>
      </c>
    </row>
    <row r="113" spans="1:7" x14ac:dyDescent="0.45">
      <c r="A113" s="125">
        <v>43785</v>
      </c>
      <c r="B113" s="31">
        <v>8552</v>
      </c>
      <c r="C113" s="31"/>
      <c r="D113" s="27"/>
      <c r="E113" s="31">
        <v>520</v>
      </c>
      <c r="F113" s="9" t="s">
        <v>430</v>
      </c>
      <c r="G113" s="100">
        <v>4650</v>
      </c>
    </row>
    <row r="114" spans="1:7" x14ac:dyDescent="0.45">
      <c r="A114" s="125">
        <v>43785</v>
      </c>
      <c r="B114" s="31">
        <v>8540</v>
      </c>
      <c r="C114" s="31"/>
      <c r="D114" s="27"/>
      <c r="E114" s="31">
        <v>512</v>
      </c>
      <c r="F114" s="9" t="s">
        <v>430</v>
      </c>
      <c r="G114" s="100">
        <v>4650</v>
      </c>
    </row>
    <row r="115" spans="1:7" x14ac:dyDescent="0.45">
      <c r="A115" s="125">
        <v>43785</v>
      </c>
      <c r="B115" s="31">
        <v>8557</v>
      </c>
      <c r="C115" s="31"/>
      <c r="D115" s="27"/>
      <c r="E115" s="31">
        <v>534</v>
      </c>
      <c r="F115" s="9" t="s">
        <v>430</v>
      </c>
      <c r="G115" s="100">
        <v>4650</v>
      </c>
    </row>
  </sheetData>
  <mergeCells count="2">
    <mergeCell ref="B1:C1"/>
    <mergeCell ref="B2:C2"/>
  </mergeCell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FF00"/>
  </sheetPr>
  <dimension ref="A1:BI45"/>
  <sheetViews>
    <sheetView zoomScale="70" zoomScaleNormal="70" workbookViewId="0">
      <selection activeCell="I42" sqref="I42"/>
    </sheetView>
  </sheetViews>
  <sheetFormatPr defaultColWidth="10.81640625" defaultRowHeight="14.5" x14ac:dyDescent="0.35"/>
  <cols>
    <col min="1" max="1" width="18" bestFit="1" customWidth="1"/>
    <col min="2" max="2" width="14" bestFit="1" customWidth="1"/>
    <col min="3" max="3" width="13.1796875" bestFit="1" customWidth="1"/>
    <col min="4" max="4" width="14.1796875" bestFit="1" customWidth="1"/>
    <col min="5" max="5" width="17.26953125" bestFit="1" customWidth="1"/>
    <col min="6" max="6" width="14.1796875" bestFit="1" customWidth="1"/>
    <col min="7" max="7" width="15.54296875" bestFit="1" customWidth="1"/>
    <col min="8" max="10" width="14.1796875" bestFit="1" customWidth="1"/>
    <col min="11" max="11" width="24.81640625" bestFit="1" customWidth="1"/>
    <col min="12" max="12" width="17.7265625" bestFit="1" customWidth="1"/>
    <col min="13" max="13" width="16.453125" bestFit="1" customWidth="1"/>
    <col min="14" max="16" width="17.26953125" bestFit="1" customWidth="1"/>
    <col min="17" max="17" width="16.81640625" bestFit="1" customWidth="1"/>
    <col min="18" max="18" width="17.26953125" bestFit="1" customWidth="1"/>
    <col min="19" max="19" width="16.81640625" bestFit="1" customWidth="1"/>
    <col min="20" max="20" width="17.26953125" style="80" bestFit="1" customWidth="1"/>
    <col min="21" max="22" width="16.81640625" bestFit="1" customWidth="1"/>
    <col min="23" max="23" width="16.453125" bestFit="1" customWidth="1"/>
    <col min="24" max="24" width="17.26953125" bestFit="1" customWidth="1"/>
    <col min="25" max="25" width="17.7265625" bestFit="1" customWidth="1"/>
    <col min="26" max="26" width="13.453125" bestFit="1" customWidth="1"/>
    <col min="27" max="28" width="12.453125" bestFit="1" customWidth="1"/>
    <col min="29" max="29" width="13.453125" bestFit="1" customWidth="1"/>
    <col min="30" max="31" width="12.453125" bestFit="1" customWidth="1"/>
    <col min="32" max="32" width="13.453125" bestFit="1" customWidth="1"/>
    <col min="33" max="33" width="12.453125" bestFit="1" customWidth="1"/>
    <col min="34" max="34" width="13.453125" bestFit="1" customWidth="1"/>
    <col min="35" max="61" width="12.453125" bestFit="1" customWidth="1"/>
  </cols>
  <sheetData>
    <row r="1" spans="1:6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3" spans="1:61" x14ac:dyDescent="0.35">
      <c r="A3" s="79" t="s">
        <v>232</v>
      </c>
      <c r="B3" s="79" t="s">
        <v>233</v>
      </c>
      <c r="C3" s="79" t="s">
        <v>234</v>
      </c>
      <c r="D3" s="79" t="s">
        <v>235</v>
      </c>
      <c r="E3" s="79" t="s">
        <v>237</v>
      </c>
      <c r="F3" s="79" t="s">
        <v>236</v>
      </c>
      <c r="G3" s="79" t="s">
        <v>238</v>
      </c>
      <c r="H3" s="79" t="s">
        <v>393</v>
      </c>
    </row>
    <row r="4" spans="1:61" x14ac:dyDescent="0.35">
      <c r="A4" s="86" t="s">
        <v>477</v>
      </c>
      <c r="B4" s="77">
        <v>18</v>
      </c>
      <c r="C4" s="77">
        <v>8681</v>
      </c>
      <c r="D4" s="76">
        <v>482.27777777777777</v>
      </c>
      <c r="E4" s="84">
        <f t="shared" ref="E4:E30" si="0">+$L$8</f>
        <v>13.5</v>
      </c>
      <c r="F4" s="84">
        <f t="shared" ref="F4:F30" si="1">+$L$10</f>
        <v>500</v>
      </c>
      <c r="G4" s="85">
        <f t="shared" ref="G4:G27" si="2">+(F4-D4)/E4</f>
        <v>1.3127572016460911</v>
      </c>
      <c r="H4" s="86">
        <v>0</v>
      </c>
      <c r="I4" t="s">
        <v>476</v>
      </c>
      <c r="J4">
        <v>31</v>
      </c>
    </row>
    <row r="5" spans="1:61" x14ac:dyDescent="0.35">
      <c r="A5" s="86" t="s">
        <v>478</v>
      </c>
      <c r="B5" s="77">
        <v>30</v>
      </c>
      <c r="C5" s="77">
        <v>12910</v>
      </c>
      <c r="D5" s="76">
        <v>430.33333333333331</v>
      </c>
      <c r="E5" s="84">
        <f t="shared" si="0"/>
        <v>13.5</v>
      </c>
      <c r="F5" s="84">
        <f t="shared" si="1"/>
        <v>500</v>
      </c>
      <c r="G5" s="85">
        <f t="shared" si="2"/>
        <v>5.1604938271604954</v>
      </c>
      <c r="H5" s="86">
        <v>22</v>
      </c>
    </row>
    <row r="6" spans="1:61" x14ac:dyDescent="0.35">
      <c r="A6" s="86" t="s">
        <v>479</v>
      </c>
      <c r="B6" s="77">
        <v>4</v>
      </c>
      <c r="C6" s="77">
        <v>1760</v>
      </c>
      <c r="D6" s="76">
        <v>440</v>
      </c>
      <c r="E6" s="84">
        <f t="shared" si="0"/>
        <v>13.5</v>
      </c>
      <c r="F6" s="84">
        <f t="shared" si="1"/>
        <v>500</v>
      </c>
      <c r="G6" s="85">
        <f t="shared" si="2"/>
        <v>4.4444444444444446</v>
      </c>
      <c r="H6" s="86">
        <v>0</v>
      </c>
      <c r="K6" t="s">
        <v>396</v>
      </c>
      <c r="L6" s="87">
        <v>4700</v>
      </c>
    </row>
    <row r="7" spans="1:61" x14ac:dyDescent="0.35">
      <c r="A7" s="86" t="s">
        <v>480</v>
      </c>
      <c r="B7" s="77">
        <v>25</v>
      </c>
      <c r="C7" s="77">
        <v>10355</v>
      </c>
      <c r="D7" s="76">
        <v>414.2</v>
      </c>
      <c r="E7" s="84">
        <f t="shared" si="0"/>
        <v>13.5</v>
      </c>
      <c r="F7" s="84">
        <f t="shared" si="1"/>
        <v>500</v>
      </c>
      <c r="G7" s="85">
        <f t="shared" si="2"/>
        <v>6.3555555555555561</v>
      </c>
      <c r="H7" s="86">
        <v>22</v>
      </c>
      <c r="K7" t="s">
        <v>395</v>
      </c>
      <c r="L7" s="87">
        <v>4700</v>
      </c>
    </row>
    <row r="8" spans="1:61" x14ac:dyDescent="0.35">
      <c r="A8" s="86" t="s">
        <v>481</v>
      </c>
      <c r="B8" s="77">
        <v>27</v>
      </c>
      <c r="C8" s="77">
        <v>8486</v>
      </c>
      <c r="D8" s="76">
        <v>314.2962962962963</v>
      </c>
      <c r="E8" s="84">
        <f t="shared" si="0"/>
        <v>13.5</v>
      </c>
      <c r="F8" s="84">
        <f t="shared" si="1"/>
        <v>500</v>
      </c>
      <c r="G8" s="85">
        <f t="shared" si="2"/>
        <v>13.755829903978052</v>
      </c>
      <c r="H8" s="86">
        <v>0</v>
      </c>
      <c r="K8" t="s">
        <v>237</v>
      </c>
      <c r="L8" s="86">
        <v>13.5</v>
      </c>
    </row>
    <row r="9" spans="1:61" x14ac:dyDescent="0.35">
      <c r="A9" s="86" t="s">
        <v>482</v>
      </c>
      <c r="B9" s="77">
        <v>24</v>
      </c>
      <c r="C9" s="77">
        <v>9880</v>
      </c>
      <c r="D9" s="76">
        <v>395.2</v>
      </c>
      <c r="E9" s="84">
        <f t="shared" si="0"/>
        <v>13.5</v>
      </c>
      <c r="F9" s="84">
        <f t="shared" si="1"/>
        <v>500</v>
      </c>
      <c r="G9" s="85">
        <f t="shared" si="2"/>
        <v>7.7629629629629635</v>
      </c>
      <c r="H9" s="86">
        <v>0</v>
      </c>
      <c r="K9" t="s">
        <v>397</v>
      </c>
      <c r="L9" s="86">
        <v>280</v>
      </c>
    </row>
    <row r="10" spans="1:61" x14ac:dyDescent="0.35">
      <c r="A10" s="86" t="s">
        <v>483</v>
      </c>
      <c r="B10" s="77">
        <v>57</v>
      </c>
      <c r="C10" s="77">
        <v>24809</v>
      </c>
      <c r="D10" s="76">
        <v>435.24561403508773</v>
      </c>
      <c r="E10" s="84">
        <f t="shared" si="0"/>
        <v>13.5</v>
      </c>
      <c r="F10" s="84">
        <f t="shared" si="1"/>
        <v>500</v>
      </c>
      <c r="G10" s="85">
        <f t="shared" si="2"/>
        <v>4.7966211825860947</v>
      </c>
      <c r="H10" s="86">
        <v>0</v>
      </c>
      <c r="K10" t="s">
        <v>398</v>
      </c>
      <c r="L10" s="86">
        <v>500</v>
      </c>
    </row>
    <row r="11" spans="1:61" x14ac:dyDescent="0.35">
      <c r="A11" s="86" t="s">
        <v>484</v>
      </c>
      <c r="B11" s="77">
        <v>17</v>
      </c>
      <c r="C11" s="77">
        <v>6777</v>
      </c>
      <c r="D11" s="76">
        <v>398.64705882352939</v>
      </c>
      <c r="E11" s="84">
        <f t="shared" si="0"/>
        <v>13.5</v>
      </c>
      <c r="F11" s="84">
        <f t="shared" si="1"/>
        <v>500</v>
      </c>
      <c r="G11" s="85">
        <f t="shared" si="2"/>
        <v>7.5076252723311558</v>
      </c>
      <c r="H11" s="86">
        <v>0</v>
      </c>
      <c r="K11" s="82" t="s">
        <v>399</v>
      </c>
      <c r="L11" s="83">
        <v>35000000</v>
      </c>
    </row>
    <row r="12" spans="1:61" x14ac:dyDescent="0.35">
      <c r="A12" s="86" t="s">
        <v>485</v>
      </c>
      <c r="B12" s="77">
        <v>35</v>
      </c>
      <c r="C12" s="77">
        <v>12958</v>
      </c>
      <c r="D12" s="76">
        <v>370.22857142857146</v>
      </c>
      <c r="E12" s="84">
        <f t="shared" si="0"/>
        <v>13.5</v>
      </c>
      <c r="F12" s="84">
        <f t="shared" si="1"/>
        <v>500</v>
      </c>
      <c r="G12" s="85">
        <f t="shared" si="2"/>
        <v>9.6126984126984105</v>
      </c>
      <c r="H12" s="86"/>
      <c r="K12" s="82" t="s">
        <v>394</v>
      </c>
      <c r="L12" s="82">
        <v>1</v>
      </c>
    </row>
    <row r="13" spans="1:61" x14ac:dyDescent="0.35">
      <c r="A13" s="86" t="s">
        <v>486</v>
      </c>
      <c r="B13" s="77">
        <v>15</v>
      </c>
      <c r="C13" s="77">
        <v>3410</v>
      </c>
      <c r="D13" s="76">
        <v>227.33333333333334</v>
      </c>
      <c r="E13" s="84">
        <f t="shared" si="0"/>
        <v>13.5</v>
      </c>
      <c r="F13" s="84">
        <f t="shared" si="1"/>
        <v>500</v>
      </c>
      <c r="G13" s="85">
        <f t="shared" si="2"/>
        <v>20.197530864197528</v>
      </c>
      <c r="H13" s="86">
        <v>0</v>
      </c>
      <c r="K13" t="s">
        <v>400</v>
      </c>
      <c r="L13" s="81">
        <f>+(L10-L9)/L8</f>
        <v>16.296296296296298</v>
      </c>
    </row>
    <row r="14" spans="1:61" x14ac:dyDescent="0.35">
      <c r="A14" s="86" t="s">
        <v>487</v>
      </c>
      <c r="B14" s="77">
        <v>29</v>
      </c>
      <c r="C14" s="77">
        <v>10601</v>
      </c>
      <c r="D14" s="76">
        <v>365.55172413793105</v>
      </c>
      <c r="E14" s="84">
        <f t="shared" si="0"/>
        <v>13.5</v>
      </c>
      <c r="F14" s="84">
        <f t="shared" si="1"/>
        <v>500</v>
      </c>
      <c r="G14" s="85">
        <f t="shared" si="2"/>
        <v>9.9591315453384404</v>
      </c>
      <c r="H14" s="86">
        <v>0</v>
      </c>
    </row>
    <row r="15" spans="1:61" x14ac:dyDescent="0.35">
      <c r="A15" s="86" t="s">
        <v>488</v>
      </c>
      <c r="B15" s="77">
        <v>20</v>
      </c>
      <c r="C15" s="77">
        <v>6715</v>
      </c>
      <c r="D15" s="76">
        <v>335.75</v>
      </c>
      <c r="E15" s="84">
        <f t="shared" si="0"/>
        <v>13.5</v>
      </c>
      <c r="F15" s="84">
        <f t="shared" si="1"/>
        <v>500</v>
      </c>
      <c r="G15" s="85">
        <f t="shared" si="2"/>
        <v>12.166666666666666</v>
      </c>
      <c r="H15" s="86">
        <v>0</v>
      </c>
    </row>
    <row r="16" spans="1:61" x14ac:dyDescent="0.35">
      <c r="A16" s="86" t="s">
        <v>489</v>
      </c>
      <c r="B16" s="77">
        <v>30</v>
      </c>
      <c r="C16" s="77">
        <v>12670</v>
      </c>
      <c r="D16" s="76">
        <v>422.33333333333331</v>
      </c>
      <c r="E16" s="84">
        <f t="shared" si="0"/>
        <v>13.5</v>
      </c>
      <c r="F16" s="84">
        <f t="shared" si="1"/>
        <v>500</v>
      </c>
      <c r="G16" s="85">
        <f t="shared" si="2"/>
        <v>5.753086419753088</v>
      </c>
      <c r="H16" s="86">
        <v>0</v>
      </c>
      <c r="K16" s="57"/>
      <c r="L16" s="57">
        <v>1</v>
      </c>
      <c r="M16" s="57">
        <v>2</v>
      </c>
      <c r="N16" s="57">
        <v>3</v>
      </c>
      <c r="O16" s="57">
        <v>4</v>
      </c>
      <c r="P16" s="57">
        <v>5</v>
      </c>
      <c r="Q16" s="57">
        <v>6</v>
      </c>
      <c r="R16" s="57">
        <v>7</v>
      </c>
      <c r="S16" s="57">
        <v>8</v>
      </c>
      <c r="T16" s="57">
        <v>9</v>
      </c>
      <c r="U16" s="57">
        <v>10</v>
      </c>
      <c r="V16" s="57">
        <v>11</v>
      </c>
      <c r="W16" s="57">
        <v>12</v>
      </c>
      <c r="X16" s="57">
        <v>13</v>
      </c>
      <c r="Y16" s="57">
        <v>14</v>
      </c>
      <c r="Z16" s="57">
        <v>15</v>
      </c>
      <c r="AA16" s="57">
        <v>16</v>
      </c>
      <c r="AB16" s="57">
        <v>17</v>
      </c>
      <c r="AC16" s="57">
        <v>18</v>
      </c>
      <c r="AD16" s="57">
        <v>19</v>
      </c>
      <c r="AE16" s="57">
        <v>20</v>
      </c>
      <c r="AF16" s="57">
        <v>21</v>
      </c>
      <c r="AG16" s="57">
        <v>22</v>
      </c>
      <c r="AH16" s="57">
        <v>23</v>
      </c>
      <c r="AI16" s="57">
        <v>24</v>
      </c>
      <c r="AJ16" s="57">
        <v>25</v>
      </c>
      <c r="AK16" s="57">
        <v>26</v>
      </c>
      <c r="AL16" s="57">
        <v>27</v>
      </c>
      <c r="AM16" s="57">
        <v>28</v>
      </c>
      <c r="AN16" s="57">
        <v>29</v>
      </c>
      <c r="AO16" s="57">
        <v>30</v>
      </c>
      <c r="AP16" s="57">
        <v>31</v>
      </c>
      <c r="AQ16" s="57">
        <v>32</v>
      </c>
      <c r="AR16" s="57">
        <v>33</v>
      </c>
      <c r="AS16" s="57">
        <v>34</v>
      </c>
      <c r="AT16" s="57">
        <v>35</v>
      </c>
      <c r="AU16" s="57">
        <v>36</v>
      </c>
      <c r="AV16" s="57">
        <v>37</v>
      </c>
      <c r="AW16" s="57">
        <v>38</v>
      </c>
      <c r="AX16" s="57">
        <v>39</v>
      </c>
      <c r="AY16" s="57">
        <v>40</v>
      </c>
      <c r="AZ16" s="57">
        <v>41</v>
      </c>
      <c r="BA16" s="57">
        <v>42</v>
      </c>
      <c r="BB16" s="57">
        <v>43</v>
      </c>
      <c r="BC16" s="57">
        <v>44</v>
      </c>
      <c r="BD16" s="57">
        <v>45</v>
      </c>
      <c r="BE16" s="57">
        <v>46</v>
      </c>
      <c r="BF16" s="57">
        <v>47</v>
      </c>
      <c r="BG16" s="57">
        <v>48</v>
      </c>
      <c r="BH16" s="57">
        <v>49</v>
      </c>
      <c r="BI16" s="57">
        <v>50</v>
      </c>
    </row>
    <row r="17" spans="1:61" x14ac:dyDescent="0.35">
      <c r="A17" s="86" t="s">
        <v>490</v>
      </c>
      <c r="B17" s="77">
        <v>19</v>
      </c>
      <c r="C17" s="77">
        <v>6090</v>
      </c>
      <c r="D17" s="76">
        <v>320.5263157894737</v>
      </c>
      <c r="E17" s="84">
        <f t="shared" si="0"/>
        <v>13.5</v>
      </c>
      <c r="F17" s="84">
        <f t="shared" si="1"/>
        <v>500</v>
      </c>
      <c r="G17" s="85">
        <f t="shared" si="2"/>
        <v>13.294346978557504</v>
      </c>
      <c r="H17" s="86">
        <v>0</v>
      </c>
      <c r="K17" s="57"/>
      <c r="L17" s="58">
        <v>43709</v>
      </c>
      <c r="M17" s="58">
        <v>43739</v>
      </c>
      <c r="N17" s="58">
        <v>43770</v>
      </c>
      <c r="O17" s="58">
        <v>43800</v>
      </c>
      <c r="P17" s="58">
        <v>43831</v>
      </c>
      <c r="Q17" s="58">
        <v>43862</v>
      </c>
      <c r="R17" s="58">
        <v>43891</v>
      </c>
      <c r="S17" s="58">
        <v>43922</v>
      </c>
      <c r="T17" s="58">
        <v>43952</v>
      </c>
      <c r="U17" s="58">
        <v>43983</v>
      </c>
      <c r="V17" s="58">
        <v>44013</v>
      </c>
      <c r="W17" s="58">
        <v>44044</v>
      </c>
      <c r="X17" s="58">
        <v>44075</v>
      </c>
      <c r="Y17" s="58">
        <v>44105</v>
      </c>
      <c r="Z17" s="58">
        <v>44136</v>
      </c>
      <c r="AA17" s="58">
        <v>44166</v>
      </c>
      <c r="AB17" s="58">
        <v>44197</v>
      </c>
      <c r="AC17" s="58">
        <v>44228</v>
      </c>
      <c r="AD17" s="58">
        <v>44256</v>
      </c>
      <c r="AE17" s="58">
        <v>44287</v>
      </c>
      <c r="AF17" s="58">
        <v>44317</v>
      </c>
      <c r="AG17" s="58">
        <v>44348</v>
      </c>
      <c r="AH17" s="58">
        <v>44378</v>
      </c>
      <c r="AI17" s="58">
        <v>44409</v>
      </c>
      <c r="AJ17" s="58">
        <v>44440</v>
      </c>
      <c r="AK17" s="58">
        <v>44470</v>
      </c>
      <c r="AL17" s="58">
        <v>44501</v>
      </c>
      <c r="AM17" s="58">
        <v>44531</v>
      </c>
      <c r="AN17" s="58">
        <v>44562</v>
      </c>
      <c r="AO17" s="58">
        <v>44593</v>
      </c>
      <c r="AP17" s="58">
        <v>44621</v>
      </c>
      <c r="AQ17" s="58">
        <v>44652</v>
      </c>
      <c r="AR17" s="58">
        <v>44682</v>
      </c>
      <c r="AS17" s="58">
        <v>44713</v>
      </c>
      <c r="AT17" s="58">
        <v>44743</v>
      </c>
      <c r="AU17" s="58">
        <v>44774</v>
      </c>
      <c r="AV17" s="58">
        <v>44805</v>
      </c>
      <c r="AW17" s="58">
        <v>44835</v>
      </c>
      <c r="AX17" s="58">
        <v>44866</v>
      </c>
      <c r="AY17" s="58">
        <v>44896</v>
      </c>
      <c r="AZ17" s="58">
        <v>44927</v>
      </c>
      <c r="BA17" s="58">
        <v>44958</v>
      </c>
      <c r="BB17" s="58">
        <v>44986</v>
      </c>
      <c r="BC17" s="58">
        <v>45017</v>
      </c>
      <c r="BD17" s="58">
        <v>45047</v>
      </c>
      <c r="BE17" s="58">
        <v>45078</v>
      </c>
      <c r="BF17" s="58">
        <v>45108</v>
      </c>
      <c r="BG17" s="58">
        <v>45139</v>
      </c>
      <c r="BH17" s="58">
        <v>45170</v>
      </c>
      <c r="BI17" s="58">
        <v>45200</v>
      </c>
    </row>
    <row r="18" spans="1:61" x14ac:dyDescent="0.35">
      <c r="A18" s="86" t="s">
        <v>491</v>
      </c>
      <c r="B18" s="77">
        <v>31</v>
      </c>
      <c r="C18" s="77">
        <v>9851</v>
      </c>
      <c r="D18" s="76">
        <v>317.77419354838707</v>
      </c>
      <c r="E18" s="84">
        <f t="shared" si="0"/>
        <v>13.5</v>
      </c>
      <c r="F18" s="84">
        <f t="shared" si="1"/>
        <v>500</v>
      </c>
      <c r="G18" s="85">
        <f t="shared" si="2"/>
        <v>13.498207885304661</v>
      </c>
      <c r="H18" s="86">
        <v>0</v>
      </c>
      <c r="K18" s="51" t="s">
        <v>244</v>
      </c>
      <c r="L18" s="51">
        <v>9000</v>
      </c>
      <c r="M18" s="51"/>
      <c r="N18" s="51"/>
      <c r="O18" s="51">
        <v>2000</v>
      </c>
      <c r="P18" s="51">
        <v>43500</v>
      </c>
      <c r="Q18" s="51">
        <v>27500</v>
      </c>
      <c r="R18" s="51"/>
      <c r="S18" s="51">
        <v>20500</v>
      </c>
      <c r="T18" s="51"/>
      <c r="U18" s="51">
        <v>32000</v>
      </c>
      <c r="V18" s="51">
        <v>16500</v>
      </c>
      <c r="W18" s="51">
        <v>10000</v>
      </c>
      <c r="X18" s="51">
        <v>25000</v>
      </c>
      <c r="Y18" s="51">
        <v>23500</v>
      </c>
      <c r="Z18" s="51">
        <v>132000</v>
      </c>
      <c r="AA18" s="51">
        <v>61000</v>
      </c>
      <c r="AB18" s="51">
        <v>24000</v>
      </c>
      <c r="AC18" s="51"/>
      <c r="AD18" s="51"/>
      <c r="AE18" s="51">
        <v>9500</v>
      </c>
      <c r="AF18" s="51">
        <v>43500</v>
      </c>
      <c r="AG18" s="51">
        <v>27500</v>
      </c>
      <c r="AH18" s="51"/>
      <c r="AI18" s="51">
        <v>20500</v>
      </c>
      <c r="AJ18" s="51"/>
      <c r="AK18" s="51">
        <v>42000</v>
      </c>
      <c r="AL18" s="51">
        <v>16500</v>
      </c>
      <c r="AM18" s="51">
        <v>10000</v>
      </c>
      <c r="AN18" s="51">
        <v>25000</v>
      </c>
      <c r="AO18" s="51">
        <v>23500</v>
      </c>
      <c r="AP18" s="51">
        <v>132000</v>
      </c>
      <c r="AQ18" s="51">
        <v>61000</v>
      </c>
      <c r="AR18" s="51">
        <v>15000</v>
      </c>
      <c r="AS18" s="51"/>
      <c r="AT18" s="51"/>
      <c r="AU18" s="51">
        <v>7500</v>
      </c>
      <c r="AV18" s="51"/>
      <c r="AW18" s="51"/>
      <c r="AX18" s="51"/>
      <c r="AY18" s="51"/>
      <c r="AZ18" s="51"/>
      <c r="BA18" s="51">
        <v>10000</v>
      </c>
      <c r="BB18" s="51"/>
      <c r="BC18" s="51"/>
      <c r="BD18" s="51"/>
      <c r="BE18" s="51"/>
      <c r="BF18" s="51"/>
      <c r="BG18" s="51"/>
      <c r="BH18" s="51"/>
      <c r="BI18" s="51"/>
    </row>
    <row r="19" spans="1:61" x14ac:dyDescent="0.35">
      <c r="A19" s="86" t="s">
        <v>492</v>
      </c>
      <c r="B19" s="77">
        <v>31</v>
      </c>
      <c r="C19" s="77">
        <v>9330</v>
      </c>
      <c r="D19" s="76">
        <v>300.96774193548384</v>
      </c>
      <c r="E19" s="84">
        <f t="shared" si="0"/>
        <v>13.5</v>
      </c>
      <c r="F19" s="84">
        <f t="shared" si="1"/>
        <v>500</v>
      </c>
      <c r="G19" s="85">
        <f t="shared" si="2"/>
        <v>14.743130227001197</v>
      </c>
      <c r="H19" s="86">
        <v>0</v>
      </c>
      <c r="K19" s="51" t="s">
        <v>240</v>
      </c>
      <c r="L19" s="51">
        <v>18</v>
      </c>
      <c r="M19" s="51"/>
      <c r="N19" s="51"/>
      <c r="O19" s="51">
        <v>4</v>
      </c>
      <c r="P19" s="51">
        <v>87</v>
      </c>
      <c r="Q19" s="51">
        <v>55</v>
      </c>
      <c r="R19" s="51"/>
      <c r="S19" s="51">
        <v>41</v>
      </c>
      <c r="T19" s="51"/>
      <c r="U19" s="51">
        <v>64</v>
      </c>
      <c r="V19" s="51">
        <v>33</v>
      </c>
      <c r="W19" s="51">
        <v>20</v>
      </c>
      <c r="X19" s="51">
        <v>50</v>
      </c>
      <c r="Y19" s="51">
        <v>47</v>
      </c>
      <c r="Z19" s="51">
        <v>264</v>
      </c>
      <c r="AA19" s="51">
        <v>122</v>
      </c>
      <c r="AB19" s="51">
        <v>48</v>
      </c>
      <c r="AC19" s="51"/>
      <c r="AD19" s="51"/>
      <c r="AE19" s="51">
        <v>19</v>
      </c>
      <c r="AF19" s="51">
        <v>87</v>
      </c>
      <c r="AG19" s="51">
        <v>55</v>
      </c>
      <c r="AH19" s="51"/>
      <c r="AI19" s="51">
        <v>41</v>
      </c>
      <c r="AJ19" s="51"/>
      <c r="AK19" s="51">
        <v>84</v>
      </c>
      <c r="AL19" s="51">
        <v>33</v>
      </c>
      <c r="AM19" s="51">
        <v>20</v>
      </c>
      <c r="AN19" s="51">
        <v>50</v>
      </c>
      <c r="AO19" s="51">
        <v>47</v>
      </c>
      <c r="AP19" s="51">
        <v>264</v>
      </c>
      <c r="AQ19" s="51">
        <v>122</v>
      </c>
      <c r="AR19" s="51">
        <v>30</v>
      </c>
      <c r="AS19" s="51"/>
      <c r="AT19" s="51"/>
      <c r="AU19" s="51">
        <v>15</v>
      </c>
      <c r="AV19" s="51"/>
      <c r="AW19" s="51"/>
      <c r="AX19" s="51"/>
      <c r="AY19" s="51"/>
      <c r="AZ19" s="51"/>
      <c r="BA19" s="51">
        <v>20</v>
      </c>
      <c r="BB19" s="51"/>
      <c r="BC19" s="51"/>
      <c r="BD19" s="51"/>
      <c r="BE19" s="51"/>
      <c r="BF19" s="51"/>
      <c r="BG19" s="51"/>
      <c r="BH19" s="51"/>
      <c r="BI19" s="51"/>
    </row>
    <row r="20" spans="1:61" x14ac:dyDescent="0.35">
      <c r="A20" s="86" t="s">
        <v>493</v>
      </c>
      <c r="B20" s="77">
        <v>23</v>
      </c>
      <c r="C20" s="77">
        <v>6928</v>
      </c>
      <c r="D20" s="76">
        <v>301.21739130434781</v>
      </c>
      <c r="E20" s="84">
        <f t="shared" si="0"/>
        <v>13.5</v>
      </c>
      <c r="F20" s="84">
        <f t="shared" si="1"/>
        <v>500</v>
      </c>
      <c r="G20" s="85">
        <f t="shared" si="2"/>
        <v>14.724637681159422</v>
      </c>
      <c r="H20" s="86">
        <v>0</v>
      </c>
      <c r="K20" s="52" t="s">
        <v>239</v>
      </c>
      <c r="L20" s="52">
        <v>4700</v>
      </c>
      <c r="M20" s="52"/>
      <c r="N20" s="52"/>
      <c r="O20" s="52">
        <v>4700</v>
      </c>
      <c r="P20" s="52">
        <v>4700</v>
      </c>
      <c r="Q20" s="52">
        <v>4700</v>
      </c>
      <c r="R20" s="52"/>
      <c r="S20" s="52">
        <v>4700</v>
      </c>
      <c r="T20" s="52"/>
      <c r="U20" s="52">
        <v>4700</v>
      </c>
      <c r="V20" s="52">
        <v>4700</v>
      </c>
      <c r="W20" s="52">
        <v>4700</v>
      </c>
      <c r="X20" s="52">
        <v>4700</v>
      </c>
      <c r="Y20" s="52">
        <v>4700</v>
      </c>
      <c r="Z20" s="52">
        <v>4700</v>
      </c>
      <c r="AA20" s="52">
        <v>4700</v>
      </c>
      <c r="AB20" s="52">
        <v>4700</v>
      </c>
      <c r="AC20" s="52"/>
      <c r="AD20" s="52"/>
      <c r="AE20" s="52">
        <v>4700</v>
      </c>
      <c r="AF20" s="52">
        <v>4700</v>
      </c>
      <c r="AG20" s="52">
        <v>4700</v>
      </c>
      <c r="AH20" s="52"/>
      <c r="AI20" s="52">
        <v>4700</v>
      </c>
      <c r="AJ20" s="52"/>
      <c r="AK20" s="52">
        <v>4700</v>
      </c>
      <c r="AL20" s="52">
        <v>4700</v>
      </c>
      <c r="AM20" s="52">
        <v>4700</v>
      </c>
      <c r="AN20" s="52">
        <v>4700</v>
      </c>
      <c r="AO20" s="52">
        <v>4700</v>
      </c>
      <c r="AP20" s="52">
        <v>4700</v>
      </c>
      <c r="AQ20" s="52">
        <v>4700</v>
      </c>
      <c r="AR20" s="52">
        <v>4700</v>
      </c>
      <c r="AS20" s="52"/>
      <c r="AT20" s="52"/>
      <c r="AU20" s="52">
        <v>4700</v>
      </c>
      <c r="AV20" s="52"/>
      <c r="AW20" s="52"/>
      <c r="AX20" s="52"/>
      <c r="AY20" s="52"/>
      <c r="AZ20" s="52"/>
      <c r="BA20" s="52">
        <v>4700</v>
      </c>
      <c r="BB20" s="52"/>
      <c r="BC20" s="52"/>
      <c r="BD20" s="52"/>
      <c r="BE20" s="52"/>
      <c r="BF20" s="52"/>
      <c r="BG20" s="52"/>
      <c r="BH20" s="52"/>
      <c r="BI20" s="52"/>
    </row>
    <row r="21" spans="1:61" x14ac:dyDescent="0.35">
      <c r="A21" s="86" t="s">
        <v>494</v>
      </c>
      <c r="B21" s="77">
        <v>27</v>
      </c>
      <c r="C21" s="77">
        <v>7851</v>
      </c>
      <c r="D21" s="76">
        <v>290.77777777777777</v>
      </c>
      <c r="E21" s="84">
        <f t="shared" si="0"/>
        <v>13.5</v>
      </c>
      <c r="F21" s="84">
        <f t="shared" si="1"/>
        <v>500</v>
      </c>
      <c r="G21" s="85">
        <f t="shared" si="2"/>
        <v>15.497942386831276</v>
      </c>
      <c r="H21" s="86">
        <v>0</v>
      </c>
      <c r="T21"/>
      <c r="AD21" s="80"/>
    </row>
    <row r="22" spans="1:61" x14ac:dyDescent="0.35">
      <c r="A22" s="86" t="s">
        <v>495</v>
      </c>
      <c r="B22" s="77">
        <v>30</v>
      </c>
      <c r="C22" s="77">
        <v>8787</v>
      </c>
      <c r="D22" s="76">
        <v>292.89999999999998</v>
      </c>
      <c r="E22" s="84">
        <f t="shared" si="0"/>
        <v>13.5</v>
      </c>
      <c r="F22" s="84">
        <f t="shared" si="1"/>
        <v>500</v>
      </c>
      <c r="G22" s="85">
        <f t="shared" si="2"/>
        <v>15.340740740740742</v>
      </c>
      <c r="H22" s="86">
        <v>0</v>
      </c>
      <c r="K22" s="53" t="s">
        <v>245</v>
      </c>
      <c r="L22" s="53">
        <v>5040</v>
      </c>
      <c r="M22" s="53"/>
      <c r="N22" s="53"/>
      <c r="O22" s="53">
        <v>1120</v>
      </c>
      <c r="P22" s="53">
        <v>24360</v>
      </c>
      <c r="Q22" s="53">
        <v>15400</v>
      </c>
      <c r="R22" s="53"/>
      <c r="S22" s="53">
        <v>11480</v>
      </c>
      <c r="T22" s="53"/>
      <c r="U22" s="53">
        <v>17920</v>
      </c>
      <c r="V22" s="53">
        <v>9240</v>
      </c>
      <c r="W22" s="53">
        <v>5600</v>
      </c>
      <c r="X22" s="53">
        <v>14000</v>
      </c>
      <c r="Y22" s="53">
        <v>13160</v>
      </c>
      <c r="Z22" s="53">
        <v>73920</v>
      </c>
      <c r="AA22" s="53">
        <v>34160</v>
      </c>
      <c r="AB22" s="53">
        <v>13440</v>
      </c>
      <c r="AC22" s="53"/>
      <c r="AD22" s="53"/>
      <c r="AE22" s="53">
        <v>5320</v>
      </c>
      <c r="AF22" s="53">
        <v>24360</v>
      </c>
      <c r="AG22" s="53">
        <v>15400</v>
      </c>
      <c r="AH22" s="53"/>
      <c r="AI22" s="53">
        <v>11480</v>
      </c>
      <c r="AJ22" s="53"/>
      <c r="AK22" s="53">
        <v>23520</v>
      </c>
      <c r="AL22" s="53">
        <v>9240</v>
      </c>
      <c r="AM22" s="53">
        <v>5600</v>
      </c>
      <c r="AN22" s="53">
        <v>14000</v>
      </c>
      <c r="AO22" s="53">
        <v>13160</v>
      </c>
      <c r="AP22" s="53">
        <v>73920</v>
      </c>
      <c r="AQ22" s="53">
        <v>34160</v>
      </c>
      <c r="AR22" s="53">
        <v>8400</v>
      </c>
      <c r="AS22" s="53"/>
      <c r="AT22" s="53"/>
      <c r="AU22" s="53">
        <v>4200</v>
      </c>
      <c r="AV22" s="53"/>
      <c r="AW22" s="53"/>
      <c r="AX22" s="53"/>
      <c r="AY22" s="53"/>
      <c r="AZ22" s="53"/>
      <c r="BA22" s="53">
        <v>5600</v>
      </c>
      <c r="BB22" s="53"/>
      <c r="BC22" s="53"/>
      <c r="BD22" s="53"/>
      <c r="BE22" s="53"/>
      <c r="BF22" s="53"/>
      <c r="BG22" s="53"/>
      <c r="BH22" s="53"/>
      <c r="BI22" s="53"/>
    </row>
    <row r="23" spans="1:61" x14ac:dyDescent="0.35">
      <c r="A23" s="86" t="s">
        <v>496</v>
      </c>
      <c r="B23" s="77">
        <v>37</v>
      </c>
      <c r="C23" s="77">
        <v>10540</v>
      </c>
      <c r="D23" s="76">
        <v>284.86486486486484</v>
      </c>
      <c r="E23" s="84">
        <f t="shared" si="0"/>
        <v>13.5</v>
      </c>
      <c r="F23" s="84">
        <f t="shared" si="1"/>
        <v>500</v>
      </c>
      <c r="G23" s="85">
        <f t="shared" si="2"/>
        <v>15.935935935935937</v>
      </c>
      <c r="H23" s="86">
        <v>0</v>
      </c>
      <c r="K23" s="53" t="s">
        <v>243</v>
      </c>
      <c r="L23" s="53">
        <v>18</v>
      </c>
      <c r="M23" s="53"/>
      <c r="N23" s="53"/>
      <c r="O23" s="53">
        <v>4</v>
      </c>
      <c r="P23" s="53">
        <v>109</v>
      </c>
      <c r="Q23" s="53">
        <v>77</v>
      </c>
      <c r="R23" s="53"/>
      <c r="S23" s="53">
        <v>41</v>
      </c>
      <c r="T23" s="53"/>
      <c r="U23" s="53">
        <v>64</v>
      </c>
      <c r="V23" s="53">
        <v>33</v>
      </c>
      <c r="W23" s="53">
        <v>20</v>
      </c>
      <c r="X23" s="53">
        <v>50</v>
      </c>
      <c r="Y23" s="53">
        <v>47</v>
      </c>
      <c r="Z23" s="53">
        <v>264</v>
      </c>
      <c r="AA23" s="53">
        <v>122</v>
      </c>
      <c r="AB23" s="53">
        <v>48</v>
      </c>
      <c r="AC23" s="53"/>
      <c r="AD23" s="53"/>
      <c r="AE23" s="53">
        <v>19</v>
      </c>
      <c r="AF23" s="53">
        <v>109</v>
      </c>
      <c r="AG23" s="53">
        <v>77</v>
      </c>
      <c r="AH23" s="53"/>
      <c r="AI23" s="53">
        <v>41</v>
      </c>
      <c r="AJ23" s="53"/>
      <c r="AK23" s="53">
        <v>84</v>
      </c>
      <c r="AL23" s="53">
        <v>33</v>
      </c>
      <c r="AM23" s="53">
        <v>20</v>
      </c>
      <c r="AN23" s="53">
        <v>50</v>
      </c>
      <c r="AO23" s="53">
        <v>47</v>
      </c>
      <c r="AP23" s="53">
        <v>264</v>
      </c>
      <c r="AQ23" s="53">
        <v>122</v>
      </c>
      <c r="AR23" s="53">
        <v>30</v>
      </c>
      <c r="AS23" s="53"/>
      <c r="AT23" s="53"/>
      <c r="AU23" s="53">
        <v>15</v>
      </c>
      <c r="AV23" s="53"/>
      <c r="AW23" s="53"/>
      <c r="AX23" s="53"/>
      <c r="AY23" s="53"/>
      <c r="AZ23" s="53"/>
      <c r="BA23" s="53">
        <v>20</v>
      </c>
      <c r="BB23" s="53"/>
      <c r="BC23" s="53"/>
      <c r="BD23" s="53"/>
      <c r="BE23" s="53"/>
      <c r="BF23" s="53"/>
      <c r="BG23" s="53"/>
      <c r="BH23" s="53"/>
      <c r="BI23" s="53"/>
    </row>
    <row r="24" spans="1:61" x14ac:dyDescent="0.35">
      <c r="A24" s="86" t="s">
        <v>497</v>
      </c>
      <c r="B24" s="77">
        <v>33</v>
      </c>
      <c r="C24" s="77">
        <v>11410</v>
      </c>
      <c r="D24" s="76">
        <v>345.75757575757575</v>
      </c>
      <c r="E24" s="84">
        <f t="shared" si="0"/>
        <v>13.5</v>
      </c>
      <c r="F24" s="84">
        <f t="shared" si="1"/>
        <v>500</v>
      </c>
      <c r="G24" s="85">
        <f t="shared" si="2"/>
        <v>11.425364758698093</v>
      </c>
      <c r="H24" s="86">
        <v>0</v>
      </c>
      <c r="K24" s="54" t="s">
        <v>246</v>
      </c>
      <c r="L24" s="54">
        <v>4700</v>
      </c>
      <c r="M24" s="54"/>
      <c r="N24" s="54"/>
      <c r="O24" s="54">
        <v>4700</v>
      </c>
      <c r="P24" s="54">
        <v>4700</v>
      </c>
      <c r="Q24" s="54">
        <v>4700</v>
      </c>
      <c r="R24" s="54"/>
      <c r="S24" s="54">
        <v>4700</v>
      </c>
      <c r="T24" s="54"/>
      <c r="U24" s="54">
        <v>4700</v>
      </c>
      <c r="V24" s="54">
        <v>4700</v>
      </c>
      <c r="W24" s="54">
        <v>4700</v>
      </c>
      <c r="X24" s="54">
        <v>4700</v>
      </c>
      <c r="Y24" s="54">
        <v>4700</v>
      </c>
      <c r="Z24" s="54">
        <v>4700</v>
      </c>
      <c r="AA24" s="54">
        <v>4700</v>
      </c>
      <c r="AB24" s="54">
        <v>4700</v>
      </c>
      <c r="AC24" s="54"/>
      <c r="AD24" s="54"/>
      <c r="AE24" s="54">
        <v>4700</v>
      </c>
      <c r="AF24" s="54">
        <v>4700</v>
      </c>
      <c r="AG24" s="54">
        <v>4700</v>
      </c>
      <c r="AH24" s="54"/>
      <c r="AI24" s="54">
        <v>4700</v>
      </c>
      <c r="AJ24" s="54"/>
      <c r="AK24" s="54">
        <v>4700</v>
      </c>
      <c r="AL24" s="54">
        <v>4700</v>
      </c>
      <c r="AM24" s="54">
        <v>4700</v>
      </c>
      <c r="AN24" s="54">
        <v>4700</v>
      </c>
      <c r="AO24" s="54">
        <v>4700</v>
      </c>
      <c r="AP24" s="54">
        <v>4700</v>
      </c>
      <c r="AQ24" s="54">
        <v>4700</v>
      </c>
      <c r="AR24" s="54">
        <v>4700</v>
      </c>
      <c r="AS24" s="54"/>
      <c r="AT24" s="54"/>
      <c r="AU24" s="54">
        <v>4700</v>
      </c>
      <c r="AV24" s="54"/>
      <c r="AW24" s="54"/>
      <c r="AX24" s="54"/>
      <c r="AY24" s="54"/>
      <c r="AZ24" s="54"/>
      <c r="BA24" s="54">
        <v>4700</v>
      </c>
      <c r="BB24" s="54"/>
      <c r="BC24" s="54"/>
      <c r="BD24" s="54"/>
      <c r="BE24" s="54"/>
      <c r="BF24" s="54"/>
      <c r="BG24" s="54"/>
      <c r="BH24" s="54"/>
      <c r="BI24" s="54"/>
    </row>
    <row r="25" spans="1:61" x14ac:dyDescent="0.35">
      <c r="A25" s="86" t="s">
        <v>498</v>
      </c>
      <c r="B25" s="77">
        <v>30</v>
      </c>
      <c r="C25" s="77">
        <v>7980</v>
      </c>
      <c r="D25" s="76">
        <v>266</v>
      </c>
      <c r="E25" s="84">
        <f t="shared" si="0"/>
        <v>13.5</v>
      </c>
      <c r="F25" s="84">
        <f t="shared" si="1"/>
        <v>500</v>
      </c>
      <c r="G25" s="85">
        <f t="shared" si="2"/>
        <v>17.333333333333332</v>
      </c>
      <c r="H25" s="86">
        <v>0</v>
      </c>
      <c r="T25"/>
      <c r="AD25" s="80"/>
    </row>
    <row r="26" spans="1:61" x14ac:dyDescent="0.35">
      <c r="A26" s="86" t="s">
        <v>499</v>
      </c>
      <c r="B26" s="77">
        <v>20</v>
      </c>
      <c r="C26" s="77">
        <v>2980</v>
      </c>
      <c r="D26" s="76">
        <v>149</v>
      </c>
      <c r="E26" s="84">
        <f t="shared" si="0"/>
        <v>13.5</v>
      </c>
      <c r="F26" s="84">
        <f t="shared" si="1"/>
        <v>500</v>
      </c>
      <c r="G26" s="85">
        <f t="shared" si="2"/>
        <v>26</v>
      </c>
      <c r="H26" s="86">
        <v>0</v>
      </c>
      <c r="K26" s="52" t="s">
        <v>242</v>
      </c>
      <c r="L26" s="52">
        <f>+L18*L20</f>
        <v>42300000</v>
      </c>
      <c r="M26" s="52">
        <f>+M18*M20</f>
        <v>0</v>
      </c>
      <c r="N26" s="52">
        <f t="shared" ref="N26:AU26" si="3">+N18*N20</f>
        <v>0</v>
      </c>
      <c r="O26" s="52">
        <f t="shared" si="3"/>
        <v>9400000</v>
      </c>
      <c r="P26" s="52">
        <f t="shared" si="3"/>
        <v>204450000</v>
      </c>
      <c r="Q26" s="52">
        <f t="shared" si="3"/>
        <v>129250000</v>
      </c>
      <c r="R26" s="52">
        <f t="shared" si="3"/>
        <v>0</v>
      </c>
      <c r="S26" s="52">
        <f t="shared" si="3"/>
        <v>96350000</v>
      </c>
      <c r="T26" s="52">
        <f t="shared" si="3"/>
        <v>0</v>
      </c>
      <c r="U26" s="52">
        <f t="shared" si="3"/>
        <v>150400000</v>
      </c>
      <c r="V26" s="52">
        <f t="shared" si="3"/>
        <v>77550000</v>
      </c>
      <c r="W26" s="52">
        <f t="shared" si="3"/>
        <v>47000000</v>
      </c>
      <c r="X26" s="52">
        <f t="shared" si="3"/>
        <v>117500000</v>
      </c>
      <c r="Y26" s="52">
        <f t="shared" si="3"/>
        <v>110450000</v>
      </c>
      <c r="Z26" s="52">
        <f t="shared" si="3"/>
        <v>620400000</v>
      </c>
      <c r="AA26" s="52">
        <f t="shared" si="3"/>
        <v>286700000</v>
      </c>
      <c r="AB26" s="52">
        <f t="shared" si="3"/>
        <v>112800000</v>
      </c>
      <c r="AC26" s="52">
        <f t="shared" si="3"/>
        <v>0</v>
      </c>
      <c r="AD26" s="52">
        <f t="shared" si="3"/>
        <v>0</v>
      </c>
      <c r="AE26" s="52">
        <f t="shared" si="3"/>
        <v>44650000</v>
      </c>
      <c r="AF26" s="52">
        <f t="shared" si="3"/>
        <v>204450000</v>
      </c>
      <c r="AG26" s="52">
        <f t="shared" si="3"/>
        <v>129250000</v>
      </c>
      <c r="AH26" s="52">
        <f t="shared" si="3"/>
        <v>0</v>
      </c>
      <c r="AI26" s="52">
        <f t="shared" si="3"/>
        <v>96350000</v>
      </c>
      <c r="AJ26" s="52">
        <f t="shared" si="3"/>
        <v>0</v>
      </c>
      <c r="AK26" s="52">
        <f t="shared" si="3"/>
        <v>197400000</v>
      </c>
      <c r="AL26" s="52">
        <f t="shared" si="3"/>
        <v>77550000</v>
      </c>
      <c r="AM26" s="52">
        <f t="shared" si="3"/>
        <v>47000000</v>
      </c>
      <c r="AN26" s="52">
        <f t="shared" si="3"/>
        <v>117500000</v>
      </c>
      <c r="AO26" s="52">
        <f t="shared" si="3"/>
        <v>110450000</v>
      </c>
      <c r="AP26" s="52">
        <f t="shared" si="3"/>
        <v>620400000</v>
      </c>
      <c r="AQ26" s="52">
        <f t="shared" si="3"/>
        <v>286700000</v>
      </c>
      <c r="AR26" s="52">
        <f t="shared" si="3"/>
        <v>70500000</v>
      </c>
      <c r="AS26" s="52">
        <f t="shared" si="3"/>
        <v>0</v>
      </c>
      <c r="AT26" s="52">
        <f t="shared" si="3"/>
        <v>0</v>
      </c>
      <c r="AU26" s="52">
        <f t="shared" si="3"/>
        <v>35250000</v>
      </c>
      <c r="AV26" s="52">
        <f>+AV18*AV20</f>
        <v>0</v>
      </c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</row>
    <row r="27" spans="1:61" x14ac:dyDescent="0.35">
      <c r="A27" s="86" t="s">
        <v>500</v>
      </c>
      <c r="B27" s="77">
        <v>41</v>
      </c>
      <c r="C27" s="77">
        <v>11469</v>
      </c>
      <c r="D27" s="76">
        <v>279.73170731707319</v>
      </c>
      <c r="E27" s="84">
        <f t="shared" si="0"/>
        <v>13.5</v>
      </c>
      <c r="F27" s="84">
        <f t="shared" si="1"/>
        <v>500</v>
      </c>
      <c r="G27" s="85">
        <f t="shared" si="2"/>
        <v>16.316169828364949</v>
      </c>
      <c r="H27" s="86">
        <v>0</v>
      </c>
      <c r="K27" s="54" t="s">
        <v>247</v>
      </c>
      <c r="L27" s="54">
        <f>+L22*L24</f>
        <v>23688000</v>
      </c>
      <c r="M27" s="54">
        <f>+M22*M24</f>
        <v>0</v>
      </c>
      <c r="N27" s="54">
        <f t="shared" ref="N27:AU27" si="4">+N22*N24</f>
        <v>0</v>
      </c>
      <c r="O27" s="54">
        <f t="shared" si="4"/>
        <v>5264000</v>
      </c>
      <c r="P27" s="54">
        <f t="shared" si="4"/>
        <v>114492000</v>
      </c>
      <c r="Q27" s="54">
        <f t="shared" si="4"/>
        <v>72380000</v>
      </c>
      <c r="R27" s="54">
        <f t="shared" si="4"/>
        <v>0</v>
      </c>
      <c r="S27" s="54">
        <f t="shared" si="4"/>
        <v>53956000</v>
      </c>
      <c r="T27" s="54">
        <f t="shared" si="4"/>
        <v>0</v>
      </c>
      <c r="U27" s="54">
        <f t="shared" si="4"/>
        <v>84224000</v>
      </c>
      <c r="V27" s="54">
        <f t="shared" si="4"/>
        <v>43428000</v>
      </c>
      <c r="W27" s="54">
        <f t="shared" si="4"/>
        <v>26320000</v>
      </c>
      <c r="X27" s="54">
        <f t="shared" si="4"/>
        <v>65800000</v>
      </c>
      <c r="Y27" s="54">
        <f t="shared" si="4"/>
        <v>61852000</v>
      </c>
      <c r="Z27" s="54">
        <f t="shared" si="4"/>
        <v>347424000</v>
      </c>
      <c r="AA27" s="54">
        <f t="shared" si="4"/>
        <v>160552000</v>
      </c>
      <c r="AB27" s="54">
        <f t="shared" si="4"/>
        <v>63168000</v>
      </c>
      <c r="AC27" s="54">
        <f t="shared" si="4"/>
        <v>0</v>
      </c>
      <c r="AD27" s="54">
        <f t="shared" si="4"/>
        <v>0</v>
      </c>
      <c r="AE27" s="54">
        <f t="shared" si="4"/>
        <v>25004000</v>
      </c>
      <c r="AF27" s="54">
        <f t="shared" si="4"/>
        <v>114492000</v>
      </c>
      <c r="AG27" s="54">
        <f t="shared" si="4"/>
        <v>72380000</v>
      </c>
      <c r="AH27" s="54">
        <f t="shared" si="4"/>
        <v>0</v>
      </c>
      <c r="AI27" s="54">
        <f t="shared" si="4"/>
        <v>53956000</v>
      </c>
      <c r="AJ27" s="54">
        <f t="shared" si="4"/>
        <v>0</v>
      </c>
      <c r="AK27" s="54">
        <f t="shared" si="4"/>
        <v>110544000</v>
      </c>
      <c r="AL27" s="54">
        <f t="shared" si="4"/>
        <v>43428000</v>
      </c>
      <c r="AM27" s="54">
        <f t="shared" si="4"/>
        <v>26320000</v>
      </c>
      <c r="AN27" s="54">
        <f t="shared" si="4"/>
        <v>65800000</v>
      </c>
      <c r="AO27" s="54">
        <f t="shared" si="4"/>
        <v>61852000</v>
      </c>
      <c r="AP27" s="54">
        <f t="shared" si="4"/>
        <v>347424000</v>
      </c>
      <c r="AQ27" s="54">
        <f t="shared" si="4"/>
        <v>160552000</v>
      </c>
      <c r="AR27" s="54">
        <f t="shared" si="4"/>
        <v>39480000</v>
      </c>
      <c r="AS27" s="54">
        <f t="shared" si="4"/>
        <v>0</v>
      </c>
      <c r="AT27" s="54">
        <f t="shared" si="4"/>
        <v>0</v>
      </c>
      <c r="AU27" s="54">
        <f t="shared" si="4"/>
        <v>19740000</v>
      </c>
      <c r="AV27" s="54">
        <f>+AV22*AV24</f>
        <v>0</v>
      </c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</row>
    <row r="28" spans="1:61" x14ac:dyDescent="0.35">
      <c r="A28" s="86" t="s">
        <v>501</v>
      </c>
      <c r="B28" s="77">
        <v>44</v>
      </c>
      <c r="C28" s="77">
        <v>12515</v>
      </c>
      <c r="D28" s="76">
        <v>284.43181818181819</v>
      </c>
      <c r="E28" s="84">
        <f t="shared" si="0"/>
        <v>13.5</v>
      </c>
      <c r="F28" s="84">
        <f t="shared" si="1"/>
        <v>500</v>
      </c>
      <c r="G28" s="85">
        <f t="shared" ref="G28:G29" si="5">+(F28-D28)/E28</f>
        <v>15.968013468013467</v>
      </c>
      <c r="H28" s="86">
        <v>0</v>
      </c>
      <c r="K28" s="55" t="s">
        <v>241</v>
      </c>
      <c r="L28" s="55">
        <f>35000000</f>
        <v>35000000</v>
      </c>
      <c r="M28" s="55">
        <f t="shared" ref="M28:AV28" si="6">35000000</f>
        <v>35000000</v>
      </c>
      <c r="N28" s="55">
        <f t="shared" si="6"/>
        <v>35000000</v>
      </c>
      <c r="O28" s="55">
        <f t="shared" si="6"/>
        <v>35000000</v>
      </c>
      <c r="P28" s="55">
        <f t="shared" si="6"/>
        <v>35000000</v>
      </c>
      <c r="Q28" s="55">
        <f t="shared" si="6"/>
        <v>35000000</v>
      </c>
      <c r="R28" s="55">
        <f t="shared" si="6"/>
        <v>35000000</v>
      </c>
      <c r="S28" s="55">
        <f t="shared" si="6"/>
        <v>35000000</v>
      </c>
      <c r="T28" s="55">
        <f t="shared" si="6"/>
        <v>35000000</v>
      </c>
      <c r="U28" s="55">
        <f t="shared" si="6"/>
        <v>35000000</v>
      </c>
      <c r="V28" s="55">
        <f t="shared" si="6"/>
        <v>35000000</v>
      </c>
      <c r="W28" s="55">
        <f t="shared" si="6"/>
        <v>35000000</v>
      </c>
      <c r="X28" s="55">
        <f t="shared" si="6"/>
        <v>35000000</v>
      </c>
      <c r="Y28" s="55">
        <f t="shared" si="6"/>
        <v>35000000</v>
      </c>
      <c r="Z28" s="55">
        <f t="shared" si="6"/>
        <v>35000000</v>
      </c>
      <c r="AA28" s="55">
        <f t="shared" si="6"/>
        <v>35000000</v>
      </c>
      <c r="AB28" s="55">
        <f t="shared" si="6"/>
        <v>35000000</v>
      </c>
      <c r="AC28" s="55">
        <f t="shared" si="6"/>
        <v>35000000</v>
      </c>
      <c r="AD28" s="55">
        <f t="shared" si="6"/>
        <v>35000000</v>
      </c>
      <c r="AE28" s="55">
        <f t="shared" si="6"/>
        <v>35000000</v>
      </c>
      <c r="AF28" s="55">
        <f t="shared" si="6"/>
        <v>35000000</v>
      </c>
      <c r="AG28" s="55">
        <f t="shared" si="6"/>
        <v>35000000</v>
      </c>
      <c r="AH28" s="55">
        <f t="shared" si="6"/>
        <v>35000000</v>
      </c>
      <c r="AI28" s="55">
        <f t="shared" si="6"/>
        <v>35000000</v>
      </c>
      <c r="AJ28" s="55">
        <f t="shared" si="6"/>
        <v>35000000</v>
      </c>
      <c r="AK28" s="55">
        <f t="shared" si="6"/>
        <v>35000000</v>
      </c>
      <c r="AL28" s="55">
        <f t="shared" si="6"/>
        <v>35000000</v>
      </c>
      <c r="AM28" s="55">
        <f t="shared" si="6"/>
        <v>35000000</v>
      </c>
      <c r="AN28" s="55">
        <f t="shared" si="6"/>
        <v>35000000</v>
      </c>
      <c r="AO28" s="55">
        <f t="shared" si="6"/>
        <v>35000000</v>
      </c>
      <c r="AP28" s="55">
        <f t="shared" si="6"/>
        <v>35000000</v>
      </c>
      <c r="AQ28" s="55">
        <f t="shared" si="6"/>
        <v>35000000</v>
      </c>
      <c r="AR28" s="55">
        <f t="shared" si="6"/>
        <v>35000000</v>
      </c>
      <c r="AS28" s="55">
        <f t="shared" si="6"/>
        <v>35000000</v>
      </c>
      <c r="AT28" s="55">
        <f t="shared" si="6"/>
        <v>35000000</v>
      </c>
      <c r="AU28" s="55">
        <f t="shared" si="6"/>
        <v>35000000</v>
      </c>
      <c r="AV28" s="55">
        <f t="shared" si="6"/>
        <v>35000000</v>
      </c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</row>
    <row r="29" spans="1:61" x14ac:dyDescent="0.35">
      <c r="A29" s="86" t="s">
        <v>502</v>
      </c>
      <c r="B29" s="77">
        <v>20</v>
      </c>
      <c r="C29" s="77">
        <v>6110</v>
      </c>
      <c r="D29" s="76">
        <v>305.5</v>
      </c>
      <c r="E29" s="84">
        <f t="shared" si="0"/>
        <v>13.5</v>
      </c>
      <c r="F29" s="84">
        <f t="shared" si="1"/>
        <v>500</v>
      </c>
      <c r="G29" s="85">
        <f t="shared" si="5"/>
        <v>14.407407407407407</v>
      </c>
      <c r="H29" s="86">
        <v>0</v>
      </c>
      <c r="K29" s="52" t="s">
        <v>248</v>
      </c>
      <c r="L29" s="52">
        <f>+L26-L27-L28</f>
        <v>-16388000</v>
      </c>
      <c r="M29" s="52">
        <f t="shared" ref="M29:AV29" si="7">+M26-M27-M28</f>
        <v>-35000000</v>
      </c>
      <c r="N29" s="52">
        <f t="shared" si="7"/>
        <v>-35000000</v>
      </c>
      <c r="O29" s="52">
        <f>+O26-O27-O28</f>
        <v>-30864000</v>
      </c>
      <c r="P29" s="52">
        <f t="shared" si="7"/>
        <v>54958000</v>
      </c>
      <c r="Q29" s="52">
        <f t="shared" si="7"/>
        <v>21870000</v>
      </c>
      <c r="R29" s="52">
        <f t="shared" si="7"/>
        <v>-35000000</v>
      </c>
      <c r="S29" s="52">
        <f t="shared" si="7"/>
        <v>7394000</v>
      </c>
      <c r="T29" s="52">
        <f t="shared" si="7"/>
        <v>-35000000</v>
      </c>
      <c r="U29" s="52">
        <f t="shared" si="7"/>
        <v>31176000</v>
      </c>
      <c r="V29" s="52">
        <f t="shared" si="7"/>
        <v>-878000</v>
      </c>
      <c r="W29" s="52">
        <f t="shared" si="7"/>
        <v>-14320000</v>
      </c>
      <c r="X29" s="52">
        <f t="shared" si="7"/>
        <v>16700000</v>
      </c>
      <c r="Y29" s="52">
        <f t="shared" si="7"/>
        <v>13598000</v>
      </c>
      <c r="Z29" s="52">
        <f t="shared" si="7"/>
        <v>237976000</v>
      </c>
      <c r="AA29" s="52">
        <f t="shared" si="7"/>
        <v>91148000</v>
      </c>
      <c r="AB29" s="52">
        <f t="shared" si="7"/>
        <v>14632000</v>
      </c>
      <c r="AC29" s="52">
        <f t="shared" si="7"/>
        <v>-35000000</v>
      </c>
      <c r="AD29" s="52">
        <f t="shared" si="7"/>
        <v>-35000000</v>
      </c>
      <c r="AE29" s="52">
        <f t="shared" si="7"/>
        <v>-15354000</v>
      </c>
      <c r="AF29" s="52">
        <f t="shared" si="7"/>
        <v>54958000</v>
      </c>
      <c r="AG29" s="52">
        <f t="shared" si="7"/>
        <v>21870000</v>
      </c>
      <c r="AH29" s="52">
        <f t="shared" si="7"/>
        <v>-35000000</v>
      </c>
      <c r="AI29" s="52">
        <f t="shared" si="7"/>
        <v>7394000</v>
      </c>
      <c r="AJ29" s="52">
        <f t="shared" si="7"/>
        <v>-35000000</v>
      </c>
      <c r="AK29" s="52">
        <f t="shared" si="7"/>
        <v>51856000</v>
      </c>
      <c r="AL29" s="52">
        <f t="shared" si="7"/>
        <v>-878000</v>
      </c>
      <c r="AM29" s="52">
        <f t="shared" si="7"/>
        <v>-14320000</v>
      </c>
      <c r="AN29" s="52">
        <f t="shared" si="7"/>
        <v>16700000</v>
      </c>
      <c r="AO29" s="52">
        <f t="shared" si="7"/>
        <v>13598000</v>
      </c>
      <c r="AP29" s="52">
        <f t="shared" si="7"/>
        <v>237976000</v>
      </c>
      <c r="AQ29" s="52">
        <f t="shared" si="7"/>
        <v>91148000</v>
      </c>
      <c r="AR29" s="52">
        <f t="shared" si="7"/>
        <v>-3980000</v>
      </c>
      <c r="AS29" s="52">
        <f t="shared" si="7"/>
        <v>-35000000</v>
      </c>
      <c r="AT29" s="52">
        <f t="shared" si="7"/>
        <v>-35000000</v>
      </c>
      <c r="AU29" s="52">
        <f t="shared" si="7"/>
        <v>-19490000</v>
      </c>
      <c r="AV29" s="52">
        <f t="shared" si="7"/>
        <v>-35000000</v>
      </c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</row>
    <row r="30" spans="1:61" x14ac:dyDescent="0.35">
      <c r="A30">
        <v>1</v>
      </c>
      <c r="B30" s="77">
        <v>153</v>
      </c>
      <c r="C30">
        <f>300*B30</f>
        <v>45900</v>
      </c>
      <c r="D30" s="76">
        <v>300</v>
      </c>
      <c r="E30" s="84">
        <f t="shared" si="0"/>
        <v>13.5</v>
      </c>
      <c r="F30" s="84">
        <f t="shared" si="1"/>
        <v>500</v>
      </c>
      <c r="G30" s="85">
        <f t="shared" ref="G30" si="8">+(F30-D30)/E30</f>
        <v>14.814814814814815</v>
      </c>
      <c r="H30" s="86">
        <v>0</v>
      </c>
      <c r="K30" s="52" t="s">
        <v>503</v>
      </c>
      <c r="L30" s="52">
        <f>8100000+25600000</f>
        <v>33700000</v>
      </c>
      <c r="M30" s="52"/>
      <c r="N30" s="52">
        <v>4000000</v>
      </c>
      <c r="O30" s="52"/>
      <c r="P30" s="52"/>
      <c r="Q30" s="52"/>
      <c r="R30" s="52">
        <v>20000000</v>
      </c>
      <c r="S30" s="52"/>
      <c r="T30" s="52">
        <v>4000000</v>
      </c>
      <c r="U30" s="52"/>
      <c r="V30" s="52"/>
      <c r="W30" s="52"/>
      <c r="X30" s="52">
        <v>20000000</v>
      </c>
      <c r="Y30" s="52">
        <v>4000000</v>
      </c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</row>
    <row r="31" spans="1:61" x14ac:dyDescent="0.35">
      <c r="K31" s="56" t="s">
        <v>249</v>
      </c>
      <c r="L31" s="88">
        <f>+L29+L30</f>
        <v>17312000</v>
      </c>
      <c r="M31" s="88">
        <f>+L31+M29+M30</f>
        <v>-17688000</v>
      </c>
      <c r="N31" s="88">
        <f t="shared" ref="N31:BI31" si="9">+M31+N29+N30</f>
        <v>-48688000</v>
      </c>
      <c r="O31" s="88">
        <f t="shared" si="9"/>
        <v>-79552000</v>
      </c>
      <c r="P31" s="88">
        <f t="shared" si="9"/>
        <v>-24594000</v>
      </c>
      <c r="Q31" s="88">
        <f t="shared" si="9"/>
        <v>-2724000</v>
      </c>
      <c r="R31" s="88">
        <f t="shared" si="9"/>
        <v>-17724000</v>
      </c>
      <c r="S31" s="88">
        <f t="shared" si="9"/>
        <v>-10330000</v>
      </c>
      <c r="T31" s="88">
        <f t="shared" si="9"/>
        <v>-41330000</v>
      </c>
      <c r="U31" s="88">
        <f t="shared" si="9"/>
        <v>-10154000</v>
      </c>
      <c r="V31" s="88">
        <f t="shared" si="9"/>
        <v>-11032000</v>
      </c>
      <c r="W31" s="88">
        <f t="shared" si="9"/>
        <v>-25352000</v>
      </c>
      <c r="X31" s="88">
        <f t="shared" si="9"/>
        <v>11348000</v>
      </c>
      <c r="Y31" s="88">
        <f t="shared" si="9"/>
        <v>28946000</v>
      </c>
      <c r="Z31" s="88">
        <f t="shared" si="9"/>
        <v>266922000</v>
      </c>
      <c r="AA31" s="88">
        <f t="shared" si="9"/>
        <v>358070000</v>
      </c>
      <c r="AB31" s="88">
        <f t="shared" si="9"/>
        <v>372702000</v>
      </c>
      <c r="AC31" s="88">
        <f t="shared" si="9"/>
        <v>337702000</v>
      </c>
      <c r="AD31" s="88">
        <f t="shared" si="9"/>
        <v>302702000</v>
      </c>
      <c r="AE31" s="88">
        <f t="shared" si="9"/>
        <v>287348000</v>
      </c>
      <c r="AF31" s="88">
        <f t="shared" si="9"/>
        <v>342306000</v>
      </c>
      <c r="AG31" s="88">
        <f t="shared" si="9"/>
        <v>364176000</v>
      </c>
      <c r="AH31" s="88">
        <f t="shared" si="9"/>
        <v>329176000</v>
      </c>
      <c r="AI31" s="88">
        <f t="shared" si="9"/>
        <v>336570000</v>
      </c>
      <c r="AJ31" s="88">
        <f t="shared" si="9"/>
        <v>301570000</v>
      </c>
      <c r="AK31" s="88">
        <f t="shared" si="9"/>
        <v>353426000</v>
      </c>
      <c r="AL31" s="88">
        <f t="shared" si="9"/>
        <v>352548000</v>
      </c>
      <c r="AM31" s="88">
        <f t="shared" si="9"/>
        <v>338228000</v>
      </c>
      <c r="AN31" s="88">
        <f t="shared" si="9"/>
        <v>354928000</v>
      </c>
      <c r="AO31" s="88">
        <f t="shared" si="9"/>
        <v>368526000</v>
      </c>
      <c r="AP31" s="88">
        <f t="shared" si="9"/>
        <v>606502000</v>
      </c>
      <c r="AQ31" s="88">
        <f t="shared" si="9"/>
        <v>697650000</v>
      </c>
      <c r="AR31" s="88">
        <f t="shared" si="9"/>
        <v>693670000</v>
      </c>
      <c r="AS31" s="88">
        <f t="shared" si="9"/>
        <v>658670000</v>
      </c>
      <c r="AT31" s="88">
        <f t="shared" si="9"/>
        <v>623670000</v>
      </c>
      <c r="AU31" s="88">
        <f t="shared" si="9"/>
        <v>604180000</v>
      </c>
      <c r="AV31" s="88">
        <f t="shared" si="9"/>
        <v>569180000</v>
      </c>
      <c r="AW31" s="88">
        <f t="shared" si="9"/>
        <v>569180000</v>
      </c>
      <c r="AX31" s="88">
        <f t="shared" si="9"/>
        <v>569180000</v>
      </c>
      <c r="AY31" s="88">
        <f t="shared" si="9"/>
        <v>569180000</v>
      </c>
      <c r="AZ31" s="88">
        <f t="shared" si="9"/>
        <v>569180000</v>
      </c>
      <c r="BA31" s="88">
        <f t="shared" si="9"/>
        <v>569180000</v>
      </c>
      <c r="BB31" s="88">
        <f t="shared" si="9"/>
        <v>569180000</v>
      </c>
      <c r="BC31" s="88">
        <f t="shared" si="9"/>
        <v>569180000</v>
      </c>
      <c r="BD31" s="88">
        <f t="shared" si="9"/>
        <v>569180000</v>
      </c>
      <c r="BE31" s="88">
        <f t="shared" si="9"/>
        <v>569180000</v>
      </c>
      <c r="BF31" s="88">
        <f t="shared" si="9"/>
        <v>569180000</v>
      </c>
      <c r="BG31" s="88">
        <f t="shared" si="9"/>
        <v>569180000</v>
      </c>
      <c r="BH31" s="88">
        <f t="shared" si="9"/>
        <v>569180000</v>
      </c>
      <c r="BI31" s="88">
        <f t="shared" si="9"/>
        <v>569180000</v>
      </c>
    </row>
    <row r="33" spans="1:61" x14ac:dyDescent="0.35">
      <c r="A33" t="s">
        <v>539</v>
      </c>
      <c r="B33" s="105">
        <v>28</v>
      </c>
      <c r="K33" t="s">
        <v>406</v>
      </c>
      <c r="L33" s="78">
        <v>200000000</v>
      </c>
      <c r="M33" s="92">
        <f t="shared" ref="M33:Y33" si="10">+$L$39</f>
        <v>973510.11306860973</v>
      </c>
      <c r="N33" s="92">
        <f t="shared" si="10"/>
        <v>973510.11306860973</v>
      </c>
      <c r="O33" s="92">
        <f t="shared" si="10"/>
        <v>973510.11306860973</v>
      </c>
      <c r="P33" s="92">
        <f>+$L$39+105000000</f>
        <v>105973510.11306861</v>
      </c>
      <c r="Q33" s="92">
        <f t="shared" si="10"/>
        <v>973510.11306860973</v>
      </c>
      <c r="R33" s="92">
        <f t="shared" si="10"/>
        <v>973510.11306860973</v>
      </c>
      <c r="S33" s="92">
        <f t="shared" si="10"/>
        <v>973510.11306860973</v>
      </c>
      <c r="T33" s="92">
        <f t="shared" si="10"/>
        <v>973510.11306860973</v>
      </c>
      <c r="U33" s="92">
        <f t="shared" si="10"/>
        <v>973510.11306860973</v>
      </c>
      <c r="V33" s="92">
        <f t="shared" si="10"/>
        <v>973510.11306860973</v>
      </c>
      <c r="W33" s="92">
        <f t="shared" si="10"/>
        <v>973510.11306860973</v>
      </c>
      <c r="X33" s="92">
        <f t="shared" si="10"/>
        <v>973510.11306860973</v>
      </c>
      <c r="Y33" s="92">
        <f t="shared" si="10"/>
        <v>973510.11306860973</v>
      </c>
      <c r="Z33" s="78">
        <f>25212000+95000000</f>
        <v>120212000</v>
      </c>
    </row>
    <row r="34" spans="1:61" x14ac:dyDescent="0.35">
      <c r="A34" t="s">
        <v>514</v>
      </c>
      <c r="B34" s="105">
        <v>51</v>
      </c>
      <c r="K34" t="s">
        <v>405</v>
      </c>
      <c r="L34" s="88">
        <f>+L31+L33</f>
        <v>217312000</v>
      </c>
      <c r="M34" s="88">
        <f>+L34+M29-M33</f>
        <v>181338489.88693139</v>
      </c>
      <c r="N34" s="88">
        <f t="shared" ref="N34:W34" si="11">+M34+N29-N33</f>
        <v>145364979.77386278</v>
      </c>
      <c r="O34" s="88">
        <f t="shared" si="11"/>
        <v>113527469.66079417</v>
      </c>
      <c r="P34" s="88">
        <f t="shared" si="11"/>
        <v>62511959.547725558</v>
      </c>
      <c r="Q34" s="88">
        <f t="shared" si="11"/>
        <v>83408449.434656948</v>
      </c>
      <c r="R34" s="88">
        <f t="shared" si="11"/>
        <v>47434939.321588337</v>
      </c>
      <c r="S34" s="88">
        <f t="shared" si="11"/>
        <v>53855429.208519727</v>
      </c>
      <c r="T34" s="88">
        <f t="shared" si="11"/>
        <v>17881919.095451117</v>
      </c>
      <c r="U34" s="88">
        <f t="shared" si="11"/>
        <v>48084408.982382506</v>
      </c>
      <c r="V34" s="88">
        <f t="shared" si="11"/>
        <v>46232898.869313896</v>
      </c>
      <c r="W34" s="88">
        <f t="shared" si="11"/>
        <v>30939388.756245285</v>
      </c>
      <c r="X34" s="88">
        <f>+W34+X29-X33</f>
        <v>46665878.643176675</v>
      </c>
      <c r="Y34" s="88">
        <f>+X34+Y29-Y33</f>
        <v>59290368.530108064</v>
      </c>
      <c r="Z34" s="88">
        <f>+Y34+Z29-Z33</f>
        <v>177054368.53010809</v>
      </c>
      <c r="AA34" s="88">
        <f t="shared" ref="AA34:BI34" si="12">+Z34+AA29-AA33</f>
        <v>268202368.53010809</v>
      </c>
      <c r="AB34" s="88">
        <f t="shared" si="12"/>
        <v>282834368.53010809</v>
      </c>
      <c r="AC34" s="88">
        <f t="shared" si="12"/>
        <v>247834368.53010809</v>
      </c>
      <c r="AD34" s="88">
        <f t="shared" si="12"/>
        <v>212834368.53010809</v>
      </c>
      <c r="AE34" s="88">
        <f t="shared" si="12"/>
        <v>197480368.53010809</v>
      </c>
      <c r="AF34" s="88">
        <f t="shared" si="12"/>
        <v>252438368.53010809</v>
      </c>
      <c r="AG34" s="88">
        <f t="shared" si="12"/>
        <v>274308368.53010809</v>
      </c>
      <c r="AH34" s="88">
        <f t="shared" si="12"/>
        <v>239308368.53010809</v>
      </c>
      <c r="AI34" s="88">
        <f t="shared" si="12"/>
        <v>246702368.53010809</v>
      </c>
      <c r="AJ34" s="88">
        <f t="shared" si="12"/>
        <v>211702368.53010809</v>
      </c>
      <c r="AK34" s="88">
        <f t="shared" si="12"/>
        <v>263558368.53010809</v>
      </c>
      <c r="AL34" s="88">
        <f t="shared" si="12"/>
        <v>262680368.53010809</v>
      </c>
      <c r="AM34" s="88">
        <f t="shared" si="12"/>
        <v>248360368.53010809</v>
      </c>
      <c r="AN34" s="88">
        <f t="shared" si="12"/>
        <v>265060368.53010809</v>
      </c>
      <c r="AO34" s="88">
        <f t="shared" si="12"/>
        <v>278658368.53010809</v>
      </c>
      <c r="AP34" s="88">
        <f t="shared" si="12"/>
        <v>516634368.53010809</v>
      </c>
      <c r="AQ34" s="88">
        <f t="shared" si="12"/>
        <v>607782368.53010809</v>
      </c>
      <c r="AR34" s="88">
        <f t="shared" si="12"/>
        <v>603802368.53010809</v>
      </c>
      <c r="AS34" s="88">
        <f t="shared" si="12"/>
        <v>568802368.53010809</v>
      </c>
      <c r="AT34" s="88">
        <f t="shared" si="12"/>
        <v>533802368.53010809</v>
      </c>
      <c r="AU34" s="88">
        <f t="shared" si="12"/>
        <v>514312368.53010809</v>
      </c>
      <c r="AV34" s="88">
        <f t="shared" si="12"/>
        <v>479312368.53010809</v>
      </c>
      <c r="AW34" s="88">
        <f t="shared" si="12"/>
        <v>479312368.53010809</v>
      </c>
      <c r="AX34" s="88">
        <f t="shared" si="12"/>
        <v>479312368.53010809</v>
      </c>
      <c r="AY34" s="88">
        <f t="shared" si="12"/>
        <v>479312368.53010809</v>
      </c>
      <c r="AZ34" s="88">
        <f t="shared" si="12"/>
        <v>479312368.53010809</v>
      </c>
      <c r="BA34" s="88">
        <f t="shared" si="12"/>
        <v>479312368.53010809</v>
      </c>
      <c r="BB34" s="88">
        <f t="shared" si="12"/>
        <v>479312368.53010809</v>
      </c>
      <c r="BC34" s="88">
        <f t="shared" si="12"/>
        <v>479312368.53010809</v>
      </c>
      <c r="BD34" s="88">
        <f t="shared" si="12"/>
        <v>479312368.53010809</v>
      </c>
      <c r="BE34" s="88">
        <f t="shared" si="12"/>
        <v>479312368.53010809</v>
      </c>
      <c r="BF34" s="88">
        <f t="shared" si="12"/>
        <v>479312368.53010809</v>
      </c>
      <c r="BG34" s="88">
        <f t="shared" si="12"/>
        <v>479312368.53010809</v>
      </c>
      <c r="BH34" s="88">
        <f t="shared" si="12"/>
        <v>479312368.53010809</v>
      </c>
      <c r="BI34" s="88">
        <f t="shared" si="12"/>
        <v>479312368.53010809</v>
      </c>
    </row>
    <row r="35" spans="1:61" x14ac:dyDescent="0.35">
      <c r="A35" t="s">
        <v>522</v>
      </c>
      <c r="B35" s="3">
        <v>44</v>
      </c>
    </row>
    <row r="36" spans="1:61" x14ac:dyDescent="0.35">
      <c r="A36" t="s">
        <v>529</v>
      </c>
      <c r="B36" s="3">
        <v>30</v>
      </c>
      <c r="K36" t="s">
        <v>401</v>
      </c>
      <c r="L36" s="91">
        <f>+L33</f>
        <v>200000000</v>
      </c>
    </row>
    <row r="37" spans="1:61" x14ac:dyDescent="0.35">
      <c r="A37" t="s">
        <v>538</v>
      </c>
      <c r="B37" s="3">
        <v>41</v>
      </c>
      <c r="K37" t="s">
        <v>402</v>
      </c>
      <c r="L37" s="89">
        <v>0.06</v>
      </c>
    </row>
    <row r="38" spans="1:61" x14ac:dyDescent="0.35">
      <c r="A38" t="s">
        <v>518</v>
      </c>
      <c r="B38" s="3">
        <v>33</v>
      </c>
      <c r="K38" t="s">
        <v>403</v>
      </c>
      <c r="L38" s="90">
        <f>+(1+L37)^(1/12)-1</f>
        <v>4.8675505653430484E-3</v>
      </c>
    </row>
    <row r="39" spans="1:61" x14ac:dyDescent="0.35">
      <c r="B39" s="3"/>
      <c r="K39" t="s">
        <v>404</v>
      </c>
      <c r="L39" s="92">
        <f>+L38*L33</f>
        <v>973510.11306860973</v>
      </c>
    </row>
    <row r="40" spans="1:61" x14ac:dyDescent="0.35">
      <c r="B40" s="3"/>
    </row>
    <row r="41" spans="1:61" x14ac:dyDescent="0.35">
      <c r="B41" s="3"/>
    </row>
    <row r="42" spans="1:61" x14ac:dyDescent="0.35">
      <c r="B42" s="3"/>
    </row>
    <row r="43" spans="1:61" x14ac:dyDescent="0.35">
      <c r="B43" s="3"/>
    </row>
    <row r="44" spans="1:61" x14ac:dyDescent="0.35">
      <c r="B44" s="3"/>
    </row>
    <row r="45" spans="1:61" x14ac:dyDescent="0.35">
      <c r="B45" s="3"/>
    </row>
  </sheetData>
  <sortState xmlns:xlrd2="http://schemas.microsoft.com/office/spreadsheetml/2017/richdata2" ref="A4:G20">
    <sortCondition ref="G4:G20"/>
  </sortState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24933" r:id="rId4" name="CommandButton1">
          <controlPr defaultSize="0" autoLine="0" r:id="rId5">
            <anchor moveWithCells="1">
              <from>
                <xdr:col>8</xdr:col>
                <xdr:colOff>285750</xdr:colOff>
                <xdr:row>0</xdr:row>
                <xdr:rowOff>114300</xdr:rowOff>
              </from>
              <to>
                <xdr:col>9</xdr:col>
                <xdr:colOff>717550</xdr:colOff>
                <xdr:row>2</xdr:row>
                <xdr:rowOff>133350</xdr:rowOff>
              </to>
            </anchor>
          </controlPr>
        </control>
      </mc:Choice>
      <mc:Fallback>
        <control shapeId="124933" r:id="rId4" name="CommandButton1"/>
      </mc:Fallback>
    </mc:AlternateContent>
    <mc:AlternateContent xmlns:mc="http://schemas.openxmlformats.org/markup-compatibility/2006">
      <mc:Choice Requires="x14">
        <control shapeId="124931" r:id="rId6" name="CommandButton2">
          <controlPr defaultSize="0" autoLine="0" r:id="rId7">
            <anchor moveWithCells="1">
              <from>
                <xdr:col>10</xdr:col>
                <xdr:colOff>247650</xdr:colOff>
                <xdr:row>1</xdr:row>
                <xdr:rowOff>88900</xdr:rowOff>
              </from>
              <to>
                <xdr:col>11</xdr:col>
                <xdr:colOff>222250</xdr:colOff>
                <xdr:row>3</xdr:row>
                <xdr:rowOff>133350</xdr:rowOff>
              </to>
            </anchor>
          </controlPr>
        </control>
      </mc:Choice>
      <mc:Fallback>
        <control shapeId="124931" r:id="rId6" name="CommandButton2"/>
      </mc:Fallback>
    </mc:AlternateContent>
    <mc:AlternateContent xmlns:mc="http://schemas.openxmlformats.org/markup-compatibility/2006">
      <mc:Choice Requires="x14">
        <control shapeId="124932" r:id="rId8" name="CommandButton3">
          <controlPr defaultSize="0" autoLine="0" r:id="rId9">
            <anchor moveWithCells="1">
              <from>
                <xdr:col>12</xdr:col>
                <xdr:colOff>0</xdr:colOff>
                <xdr:row>1</xdr:row>
                <xdr:rowOff>95250</xdr:rowOff>
              </from>
              <to>
                <xdr:col>13</xdr:col>
                <xdr:colOff>508000</xdr:colOff>
                <xdr:row>3</xdr:row>
                <xdr:rowOff>107950</xdr:rowOff>
              </to>
            </anchor>
          </controlPr>
        </control>
      </mc:Choice>
      <mc:Fallback>
        <control shapeId="124932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6"/>
  <dimension ref="A1:J42"/>
  <sheetViews>
    <sheetView workbookViewId="0">
      <pane ySplit="5" topLeftCell="A6" activePane="bottomLeft" state="frozen"/>
      <selection pane="bottomLeft" activeCell="A2" sqref="A2:B2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9" customWidth="1"/>
    <col min="5" max="7" width="10.453125" style="9" bestFit="1" customWidth="1"/>
    <col min="8" max="16384" width="10.81640625" style="6"/>
  </cols>
  <sheetData>
    <row r="1" spans="1:10" s="16" customFormat="1" ht="17.5" x14ac:dyDescent="0.35">
      <c r="A1" s="129" t="s">
        <v>518</v>
      </c>
      <c r="B1" s="129"/>
      <c r="C1" s="13" t="s">
        <v>114</v>
      </c>
      <c r="D1" s="14">
        <f>COUNT(D8:D38)</f>
        <v>28</v>
      </c>
      <c r="E1" s="14">
        <f>COUNT(E8:E38)</f>
        <v>28</v>
      </c>
      <c r="F1" s="14">
        <f>COUNT(F7:F41)</f>
        <v>28</v>
      </c>
      <c r="G1" s="14">
        <f>COUNT(G7:G38)</f>
        <v>0</v>
      </c>
      <c r="H1" s="45"/>
    </row>
    <row r="2" spans="1:10" s="16" customFormat="1" ht="11.5" customHeight="1" x14ac:dyDescent="0.35">
      <c r="A2" s="130" t="s">
        <v>531</v>
      </c>
      <c r="B2" s="130"/>
      <c r="C2" s="13" t="s">
        <v>109</v>
      </c>
      <c r="D2" s="14">
        <f>SUM(D8:D41)</f>
        <v>12170</v>
      </c>
      <c r="E2" s="14">
        <f>SUM(E8:E41)</f>
        <v>10890</v>
      </c>
      <c r="F2" s="14">
        <f>SUM(F7:F41)</f>
        <v>8826</v>
      </c>
      <c r="G2" s="14">
        <f>SUM(G7:G41)</f>
        <v>0</v>
      </c>
    </row>
    <row r="3" spans="1:10" s="16" customFormat="1" ht="11.5" customHeight="1" x14ac:dyDescent="0.35">
      <c r="A3" s="17"/>
      <c r="B3" s="17"/>
      <c r="C3" s="13" t="s">
        <v>108</v>
      </c>
      <c r="D3" s="14">
        <f>D2/D1</f>
        <v>434.64285714285717</v>
      </c>
      <c r="E3" s="14">
        <f>E2/E1</f>
        <v>388.92857142857144</v>
      </c>
      <c r="F3" s="14">
        <f>F2/F1</f>
        <v>315.21428571428572</v>
      </c>
      <c r="G3" s="14" t="e">
        <f>G2/COUNT(G7:G41)</f>
        <v>#DIV/0!</v>
      </c>
    </row>
    <row r="4" spans="1:10" s="16" customFormat="1" ht="11.5" customHeight="1" x14ac:dyDescent="0.35">
      <c r="A4" s="17"/>
      <c r="B4" s="17"/>
      <c r="C4" s="13" t="s">
        <v>110</v>
      </c>
      <c r="D4" s="18">
        <f>+((D2-E2)/(D6-E6))/D1</f>
        <v>0.3007518796992481</v>
      </c>
      <c r="E4" s="18">
        <f>+((E2-F2)/(E6-F6))/E1</f>
        <v>0.26326530612244897</v>
      </c>
      <c r="F4" s="14"/>
      <c r="G4" s="18" t="e">
        <f>((G2-F2)/(H6-F6))/G1</f>
        <v>#VALUE!</v>
      </c>
    </row>
    <row r="5" spans="1:10" s="16" customFormat="1" ht="11.5" customHeight="1" x14ac:dyDescent="0.35">
      <c r="A5" s="20"/>
      <c r="B5" s="20"/>
      <c r="C5" s="21" t="s">
        <v>112</v>
      </c>
      <c r="D5" s="117">
        <f>D4*30</f>
        <v>9.0225563909774422</v>
      </c>
      <c r="E5" s="23">
        <f>+E4*30</f>
        <v>7.8979591836734695</v>
      </c>
      <c r="F5" s="22"/>
      <c r="G5" s="30" t="e">
        <f>G4*30</f>
        <v>#VALUE!</v>
      </c>
    </row>
    <row r="6" spans="1:10" x14ac:dyDescent="0.45">
      <c r="A6" s="36" t="s">
        <v>182</v>
      </c>
      <c r="B6" s="36" t="s">
        <v>39</v>
      </c>
      <c r="C6" s="7" t="s">
        <v>0</v>
      </c>
      <c r="D6" s="28">
        <v>43782</v>
      </c>
      <c r="E6" s="28">
        <v>43630</v>
      </c>
      <c r="F6" s="28">
        <v>43350</v>
      </c>
      <c r="H6" s="1" t="s">
        <v>269</v>
      </c>
      <c r="I6" s="1" t="s">
        <v>269</v>
      </c>
    </row>
    <row r="7" spans="1:10" x14ac:dyDescent="0.45">
      <c r="A7" s="9">
        <v>8501</v>
      </c>
      <c r="E7" s="9" t="s">
        <v>223</v>
      </c>
      <c r="H7" s="9" t="s">
        <v>512</v>
      </c>
      <c r="I7" s="9" t="s">
        <v>511</v>
      </c>
      <c r="J7" s="49"/>
    </row>
    <row r="8" spans="1:10" x14ac:dyDescent="0.45">
      <c r="A8" s="9">
        <v>8502</v>
      </c>
      <c r="C8" s="6" t="s">
        <v>221</v>
      </c>
      <c r="D8" s="9">
        <v>400</v>
      </c>
      <c r="E8" s="9">
        <v>330</v>
      </c>
      <c r="F8" s="9">
        <v>202</v>
      </c>
      <c r="H8" s="27">
        <f t="shared" ref="H8:H13" si="0">+((D8-E8)/($D$6-$E$6))*30</f>
        <v>13.815789473684211</v>
      </c>
      <c r="I8" s="27">
        <f t="shared" ref="I8:I13" si="1">((E8-F8)/($E$6-$F$6))*30</f>
        <v>13.714285714285714</v>
      </c>
      <c r="J8" s="49"/>
    </row>
    <row r="9" spans="1:10" x14ac:dyDescent="0.45">
      <c r="A9" s="9">
        <v>8503</v>
      </c>
      <c r="C9" s="6" t="s">
        <v>224</v>
      </c>
      <c r="D9" s="9">
        <v>410</v>
      </c>
      <c r="E9" s="9">
        <v>330</v>
      </c>
      <c r="F9" s="9">
        <v>310</v>
      </c>
      <c r="H9" s="27">
        <f t="shared" si="0"/>
        <v>15.789473684210526</v>
      </c>
      <c r="I9" s="27">
        <f t="shared" si="1"/>
        <v>2.1428571428571428</v>
      </c>
      <c r="J9" s="48"/>
    </row>
    <row r="10" spans="1:10" x14ac:dyDescent="0.45">
      <c r="A10" s="9">
        <v>8504</v>
      </c>
      <c r="C10" s="6" t="s">
        <v>15</v>
      </c>
      <c r="D10" s="9">
        <v>390</v>
      </c>
      <c r="E10" s="9">
        <v>390</v>
      </c>
      <c r="F10" s="9">
        <v>300</v>
      </c>
      <c r="H10" s="27">
        <f t="shared" si="0"/>
        <v>0</v>
      </c>
      <c r="I10" s="27">
        <f t="shared" si="1"/>
        <v>9.6428571428571441</v>
      </c>
      <c r="J10" s="48"/>
    </row>
    <row r="11" spans="1:10" x14ac:dyDescent="0.45">
      <c r="A11" s="9">
        <v>8505</v>
      </c>
      <c r="C11" s="6" t="s">
        <v>19</v>
      </c>
      <c r="D11" s="9">
        <v>490</v>
      </c>
      <c r="E11" s="9">
        <v>430</v>
      </c>
      <c r="F11" s="9">
        <v>392</v>
      </c>
      <c r="H11" s="27">
        <f t="shared" si="0"/>
        <v>11.842105263157896</v>
      </c>
      <c r="I11" s="27">
        <f t="shared" si="1"/>
        <v>4.0714285714285712</v>
      </c>
      <c r="J11" s="48"/>
    </row>
    <row r="12" spans="1:10" x14ac:dyDescent="0.45">
      <c r="A12" s="9">
        <v>8506</v>
      </c>
      <c r="C12" s="6" t="s">
        <v>17</v>
      </c>
      <c r="D12" s="9">
        <v>530</v>
      </c>
      <c r="E12" s="9">
        <v>450</v>
      </c>
      <c r="F12" s="9">
        <v>284</v>
      </c>
      <c r="H12" s="27">
        <f t="shared" si="0"/>
        <v>15.789473684210526</v>
      </c>
      <c r="I12" s="27">
        <f t="shared" si="1"/>
        <v>17.785714285714285</v>
      </c>
      <c r="J12" s="48"/>
    </row>
    <row r="13" spans="1:10" x14ac:dyDescent="0.45">
      <c r="A13" s="9">
        <v>8507</v>
      </c>
      <c r="C13" s="6" t="s">
        <v>12</v>
      </c>
      <c r="D13" s="9">
        <v>440</v>
      </c>
      <c r="E13" s="9">
        <v>440</v>
      </c>
      <c r="F13" s="9">
        <v>342</v>
      </c>
      <c r="H13" s="27">
        <f t="shared" si="0"/>
        <v>0</v>
      </c>
      <c r="I13" s="27">
        <f t="shared" si="1"/>
        <v>10.5</v>
      </c>
      <c r="J13" s="48"/>
    </row>
    <row r="14" spans="1:10" x14ac:dyDescent="0.45">
      <c r="A14" s="9">
        <v>8509</v>
      </c>
      <c r="B14" s="6"/>
      <c r="C14" s="6" t="s">
        <v>1</v>
      </c>
      <c r="D14" s="9">
        <v>480</v>
      </c>
      <c r="E14" s="9">
        <v>410</v>
      </c>
      <c r="F14" s="9">
        <v>362</v>
      </c>
      <c r="H14" s="27">
        <f t="shared" ref="H14:H35" si="2">+((D14-E14)/($D$6-$E$6))*30</f>
        <v>13.815789473684211</v>
      </c>
      <c r="I14" s="27">
        <f t="shared" ref="I14:I24" si="3">((E14-F14)/($E$6-$F$6))*30</f>
        <v>5.1428571428571432</v>
      </c>
      <c r="J14" s="49"/>
    </row>
    <row r="15" spans="1:10" x14ac:dyDescent="0.45">
      <c r="A15" s="9">
        <v>8510</v>
      </c>
      <c r="B15" s="6"/>
      <c r="C15" s="6" t="s">
        <v>1</v>
      </c>
      <c r="D15" s="9">
        <v>390</v>
      </c>
      <c r="E15" s="9">
        <v>350</v>
      </c>
      <c r="F15" s="9">
        <v>338</v>
      </c>
      <c r="H15" s="27">
        <f t="shared" si="2"/>
        <v>7.8947368421052628</v>
      </c>
      <c r="I15" s="27">
        <f t="shared" si="3"/>
        <v>1.2857142857142858</v>
      </c>
      <c r="J15" s="49"/>
    </row>
    <row r="16" spans="1:10" x14ac:dyDescent="0.45">
      <c r="A16" s="9">
        <v>8511</v>
      </c>
      <c r="B16" s="6"/>
      <c r="C16" s="6" t="s">
        <v>225</v>
      </c>
      <c r="D16" s="9">
        <v>380</v>
      </c>
      <c r="E16" s="9">
        <v>350</v>
      </c>
      <c r="F16" s="9">
        <v>378</v>
      </c>
      <c r="H16" s="27">
        <f t="shared" si="2"/>
        <v>5.9210526315789478</v>
      </c>
      <c r="I16" s="27">
        <f t="shared" si="3"/>
        <v>-3</v>
      </c>
      <c r="J16" s="49"/>
    </row>
    <row r="17" spans="1:10" x14ac:dyDescent="0.45">
      <c r="A17" s="9">
        <v>8512</v>
      </c>
      <c r="B17" s="6"/>
      <c r="C17" s="6" t="s">
        <v>16</v>
      </c>
      <c r="D17" s="9">
        <v>410</v>
      </c>
      <c r="E17" s="9">
        <v>360</v>
      </c>
      <c r="F17" s="9">
        <v>305</v>
      </c>
      <c r="H17" s="27">
        <f t="shared" si="2"/>
        <v>9.8684210526315788</v>
      </c>
      <c r="I17" s="27">
        <f t="shared" si="3"/>
        <v>5.8928571428571423</v>
      </c>
      <c r="J17" s="49"/>
    </row>
    <row r="18" spans="1:10" x14ac:dyDescent="0.45">
      <c r="A18" s="9">
        <v>8513</v>
      </c>
      <c r="B18" s="6"/>
      <c r="C18" s="6" t="s">
        <v>15</v>
      </c>
      <c r="D18" s="9">
        <v>460</v>
      </c>
      <c r="E18" s="9">
        <v>400</v>
      </c>
      <c r="F18" s="9">
        <v>340</v>
      </c>
      <c r="H18" s="27">
        <f t="shared" si="2"/>
        <v>11.842105263157896</v>
      </c>
      <c r="I18" s="27">
        <f t="shared" si="3"/>
        <v>6.4285714285714279</v>
      </c>
      <c r="J18" s="49"/>
    </row>
    <row r="19" spans="1:10" x14ac:dyDescent="0.45">
      <c r="A19" s="9">
        <v>8514</v>
      </c>
      <c r="B19" s="6"/>
      <c r="C19" s="6" t="s">
        <v>18</v>
      </c>
      <c r="D19" s="9">
        <v>440</v>
      </c>
      <c r="E19" s="9">
        <v>400</v>
      </c>
      <c r="F19" s="9">
        <v>338</v>
      </c>
      <c r="H19" s="27">
        <f t="shared" si="2"/>
        <v>7.8947368421052628</v>
      </c>
      <c r="I19" s="27">
        <f t="shared" si="3"/>
        <v>6.6428571428571423</v>
      </c>
      <c r="J19" s="49"/>
    </row>
    <row r="20" spans="1:10" x14ac:dyDescent="0.45">
      <c r="A20" s="9">
        <v>8515</v>
      </c>
      <c r="B20" s="6"/>
      <c r="C20" s="6" t="s">
        <v>15</v>
      </c>
      <c r="D20" s="9">
        <v>410</v>
      </c>
      <c r="E20" s="9">
        <v>380</v>
      </c>
      <c r="F20" s="9">
        <v>342</v>
      </c>
      <c r="H20" s="27">
        <f t="shared" si="2"/>
        <v>5.9210526315789478</v>
      </c>
      <c r="I20" s="27">
        <f t="shared" si="3"/>
        <v>4.0714285714285712</v>
      </c>
      <c r="J20" s="49"/>
    </row>
    <row r="21" spans="1:10" x14ac:dyDescent="0.45">
      <c r="A21" s="9">
        <v>8516</v>
      </c>
      <c r="B21" s="6"/>
      <c r="C21" s="6" t="s">
        <v>226</v>
      </c>
      <c r="D21" s="9">
        <v>420</v>
      </c>
      <c r="E21" s="9">
        <v>400</v>
      </c>
      <c r="F21" s="9">
        <v>362</v>
      </c>
      <c r="H21" s="27">
        <f t="shared" si="2"/>
        <v>3.9473684210526314</v>
      </c>
      <c r="I21" s="27">
        <f t="shared" si="3"/>
        <v>4.0714285714285712</v>
      </c>
      <c r="J21" s="49"/>
    </row>
    <row r="22" spans="1:10" x14ac:dyDescent="0.45">
      <c r="A22" s="9">
        <v>8517</v>
      </c>
      <c r="B22" s="6"/>
      <c r="C22" s="6" t="s">
        <v>227</v>
      </c>
      <c r="D22" s="9">
        <v>400</v>
      </c>
      <c r="E22" s="9">
        <v>360</v>
      </c>
      <c r="F22" s="9">
        <v>346</v>
      </c>
      <c r="H22" s="27">
        <f t="shared" si="2"/>
        <v>7.8947368421052628</v>
      </c>
      <c r="I22" s="27">
        <f t="shared" si="3"/>
        <v>1.5</v>
      </c>
      <c r="J22" s="49"/>
    </row>
    <row r="23" spans="1:10" x14ac:dyDescent="0.45">
      <c r="A23" s="9">
        <v>8518</v>
      </c>
      <c r="B23" s="6"/>
      <c r="C23" s="6" t="s">
        <v>228</v>
      </c>
      <c r="D23" s="9">
        <v>340</v>
      </c>
      <c r="E23" s="9">
        <v>310</v>
      </c>
      <c r="F23" s="9">
        <v>350</v>
      </c>
      <c r="G23" s="6"/>
      <c r="H23" s="27">
        <f t="shared" si="2"/>
        <v>5.9210526315789478</v>
      </c>
      <c r="I23" s="27">
        <f t="shared" si="3"/>
        <v>-4.2857142857142856</v>
      </c>
      <c r="J23" s="49"/>
    </row>
    <row r="24" spans="1:10" x14ac:dyDescent="0.45">
      <c r="A24" s="9">
        <v>8519</v>
      </c>
      <c r="B24" s="6"/>
      <c r="D24" s="9">
        <v>510</v>
      </c>
      <c r="E24" s="9">
        <v>450</v>
      </c>
      <c r="F24" s="9">
        <v>340</v>
      </c>
      <c r="G24" s="6"/>
      <c r="H24" s="27">
        <f t="shared" si="2"/>
        <v>11.842105263157896</v>
      </c>
      <c r="I24" s="27">
        <f t="shared" si="3"/>
        <v>11.785714285714285</v>
      </c>
      <c r="J24" s="49"/>
    </row>
    <row r="25" spans="1:10" x14ac:dyDescent="0.45">
      <c r="A25" s="9">
        <v>8520</v>
      </c>
      <c r="B25" s="6"/>
      <c r="C25" s="6" t="s">
        <v>227</v>
      </c>
      <c r="D25" s="9">
        <v>400</v>
      </c>
      <c r="E25" s="9">
        <v>360</v>
      </c>
      <c r="F25" s="9">
        <v>340</v>
      </c>
      <c r="G25" s="6"/>
      <c r="H25" s="27">
        <f t="shared" si="2"/>
        <v>7.8947368421052628</v>
      </c>
      <c r="I25" s="27">
        <f t="shared" ref="I25:I35" si="4">((E25-F25)/($E$6-$F$6))*30</f>
        <v>2.1428571428571428</v>
      </c>
      <c r="J25" s="49"/>
    </row>
    <row r="26" spans="1:10" x14ac:dyDescent="0.45">
      <c r="A26" s="9">
        <v>8521</v>
      </c>
      <c r="B26" s="6"/>
      <c r="C26" s="6" t="s">
        <v>26</v>
      </c>
      <c r="D26" s="9">
        <v>460</v>
      </c>
      <c r="E26" s="9">
        <v>420</v>
      </c>
      <c r="F26" s="9">
        <v>245</v>
      </c>
      <c r="G26" s="6"/>
      <c r="H26" s="27">
        <f t="shared" si="2"/>
        <v>7.8947368421052628</v>
      </c>
      <c r="I26" s="27">
        <f t="shared" si="4"/>
        <v>18.75</v>
      </c>
    </row>
    <row r="27" spans="1:10" x14ac:dyDescent="0.45">
      <c r="A27" s="9">
        <v>8522</v>
      </c>
      <c r="B27" s="6"/>
      <c r="C27" s="6" t="s">
        <v>225</v>
      </c>
      <c r="D27" s="9">
        <v>440</v>
      </c>
      <c r="E27" s="9">
        <v>400</v>
      </c>
      <c r="F27" s="9">
        <v>252</v>
      </c>
      <c r="G27" s="6"/>
      <c r="H27" s="27">
        <f t="shared" si="2"/>
        <v>7.8947368421052628</v>
      </c>
      <c r="I27" s="27">
        <f t="shared" si="4"/>
        <v>15.857142857142858</v>
      </c>
    </row>
    <row r="28" spans="1:10" x14ac:dyDescent="0.45">
      <c r="A28" s="9">
        <v>8523</v>
      </c>
      <c r="B28" s="6"/>
      <c r="C28" s="6" t="s">
        <v>4</v>
      </c>
      <c r="D28" s="9">
        <v>460</v>
      </c>
      <c r="E28" s="9">
        <v>410</v>
      </c>
      <c r="F28" s="9">
        <v>245</v>
      </c>
      <c r="G28" s="6"/>
      <c r="H28" s="27">
        <f t="shared" si="2"/>
        <v>9.8684210526315788</v>
      </c>
      <c r="I28" s="27">
        <f t="shared" si="4"/>
        <v>17.678571428571431</v>
      </c>
    </row>
    <row r="29" spans="1:10" x14ac:dyDescent="0.45">
      <c r="A29" s="9">
        <v>8524</v>
      </c>
      <c r="B29" s="6"/>
      <c r="C29" s="6" t="s">
        <v>105</v>
      </c>
      <c r="D29" s="9">
        <v>400</v>
      </c>
      <c r="E29" s="9">
        <v>360</v>
      </c>
      <c r="F29" s="9">
        <v>245</v>
      </c>
      <c r="G29" s="6"/>
      <c r="H29" s="27">
        <f t="shared" si="2"/>
        <v>7.8947368421052628</v>
      </c>
      <c r="I29" s="27">
        <f t="shared" si="4"/>
        <v>12.321428571428571</v>
      </c>
    </row>
    <row r="30" spans="1:10" x14ac:dyDescent="0.45">
      <c r="A30" s="9">
        <v>8525</v>
      </c>
      <c r="B30" s="6"/>
      <c r="C30" s="6" t="s">
        <v>23</v>
      </c>
      <c r="D30" s="9">
        <v>450</v>
      </c>
      <c r="E30" s="9">
        <v>390</v>
      </c>
      <c r="F30" s="9">
        <v>273</v>
      </c>
      <c r="G30" s="6"/>
      <c r="H30" s="27">
        <f t="shared" si="2"/>
        <v>11.842105263157896</v>
      </c>
      <c r="I30" s="27">
        <f t="shared" si="4"/>
        <v>12.535714285714286</v>
      </c>
    </row>
    <row r="31" spans="1:10" x14ac:dyDescent="0.45">
      <c r="A31" s="9">
        <v>8526</v>
      </c>
      <c r="B31" s="6"/>
      <c r="C31" s="6" t="s">
        <v>181</v>
      </c>
      <c r="D31" s="9">
        <v>390</v>
      </c>
      <c r="E31" s="9">
        <v>370</v>
      </c>
      <c r="F31" s="9">
        <v>324</v>
      </c>
      <c r="G31" s="6"/>
      <c r="H31" s="27">
        <f t="shared" si="2"/>
        <v>3.9473684210526314</v>
      </c>
      <c r="I31" s="27">
        <f t="shared" si="4"/>
        <v>4.9285714285714288</v>
      </c>
    </row>
    <row r="32" spans="1:10" x14ac:dyDescent="0.45">
      <c r="A32" s="9">
        <v>8527</v>
      </c>
      <c r="B32" s="6"/>
      <c r="C32" s="6" t="s">
        <v>229</v>
      </c>
      <c r="D32" s="9">
        <v>480</v>
      </c>
      <c r="E32" s="9">
        <v>440</v>
      </c>
      <c r="F32" s="9">
        <v>373</v>
      </c>
      <c r="G32" s="6"/>
      <c r="H32" s="27">
        <f t="shared" si="2"/>
        <v>7.8947368421052628</v>
      </c>
      <c r="I32" s="27">
        <f t="shared" si="4"/>
        <v>7.1785714285714288</v>
      </c>
    </row>
    <row r="33" spans="1:9" x14ac:dyDescent="0.45">
      <c r="A33" s="9">
        <v>8528</v>
      </c>
      <c r="B33" s="6"/>
      <c r="C33" s="6" t="s">
        <v>229</v>
      </c>
      <c r="D33" s="9">
        <v>480</v>
      </c>
      <c r="E33" s="9">
        <v>410</v>
      </c>
      <c r="F33" s="9">
        <v>310</v>
      </c>
      <c r="G33" s="6"/>
      <c r="H33" s="27">
        <f t="shared" si="2"/>
        <v>13.815789473684211</v>
      </c>
      <c r="I33" s="27">
        <f t="shared" si="4"/>
        <v>10.714285714285715</v>
      </c>
    </row>
    <row r="34" spans="1:9" x14ac:dyDescent="0.45">
      <c r="A34" s="9">
        <v>8529</v>
      </c>
      <c r="B34" s="6"/>
      <c r="D34" s="9">
        <v>400</v>
      </c>
      <c r="E34" s="9">
        <v>350</v>
      </c>
      <c r="F34" s="9">
        <v>309</v>
      </c>
      <c r="G34" s="6"/>
      <c r="H34" s="27">
        <f t="shared" si="2"/>
        <v>9.8684210526315788</v>
      </c>
      <c r="I34" s="27">
        <f t="shared" si="4"/>
        <v>4.3928571428571432</v>
      </c>
    </row>
    <row r="35" spans="1:9" x14ac:dyDescent="0.45">
      <c r="A35" s="9">
        <v>8530</v>
      </c>
      <c r="B35" s="6"/>
      <c r="D35" s="9">
        <v>510</v>
      </c>
      <c r="E35" s="9">
        <v>440</v>
      </c>
      <c r="F35" s="9">
        <v>279</v>
      </c>
      <c r="G35" s="6"/>
      <c r="H35" s="27">
        <f t="shared" si="2"/>
        <v>13.815789473684211</v>
      </c>
      <c r="I35" s="27">
        <f t="shared" si="4"/>
        <v>17.25</v>
      </c>
    </row>
    <row r="36" spans="1:9" x14ac:dyDescent="0.45">
      <c r="E36" s="31"/>
      <c r="G36" s="31"/>
    </row>
    <row r="37" spans="1:9" x14ac:dyDescent="0.45">
      <c r="E37" s="31"/>
      <c r="G37" s="31"/>
    </row>
    <row r="38" spans="1:9" x14ac:dyDescent="0.45">
      <c r="E38" s="31"/>
      <c r="G38" s="31"/>
    </row>
    <row r="39" spans="1:9" x14ac:dyDescent="0.45">
      <c r="A39" s="31"/>
      <c r="B39" s="31"/>
      <c r="C39" s="32"/>
      <c r="D39" s="31"/>
      <c r="E39" s="31"/>
      <c r="F39" s="31"/>
      <c r="G39" s="31"/>
    </row>
    <row r="40" spans="1:9" x14ac:dyDescent="0.45">
      <c r="A40" s="31"/>
      <c r="B40" s="31"/>
      <c r="C40" s="32"/>
      <c r="D40" s="31"/>
      <c r="E40" s="31"/>
      <c r="F40" s="31"/>
      <c r="G40" s="31"/>
    </row>
    <row r="41" spans="1:9" x14ac:dyDescent="0.45">
      <c r="A41" s="31"/>
      <c r="B41" s="31"/>
      <c r="C41" s="32"/>
      <c r="D41" s="31"/>
      <c r="E41" s="31"/>
      <c r="F41" s="31"/>
      <c r="G41" s="31"/>
    </row>
    <row r="42" spans="1:9" x14ac:dyDescent="0.45">
      <c r="A42" s="31"/>
      <c r="B42" s="31"/>
      <c r="C42" s="32"/>
      <c r="D42" s="31"/>
      <c r="E42" s="31"/>
      <c r="F42" s="31"/>
      <c r="G42" s="31"/>
    </row>
  </sheetData>
  <mergeCells count="2">
    <mergeCell ref="A1:B1"/>
    <mergeCell ref="A2:B2"/>
  </mergeCells>
  <conditionalFormatting sqref="I8:I35">
    <cfRule type="cellIs" dxfId="17" priority="2" operator="greaterThan">
      <formula>13</formula>
    </cfRule>
    <cfRule type="cellIs" dxfId="16" priority="5" operator="lessThan">
      <formula>12</formula>
    </cfRule>
  </conditionalFormatting>
  <conditionalFormatting sqref="H8:H35">
    <cfRule type="cellIs" dxfId="15" priority="3" operator="greaterThan">
      <formula>13</formula>
    </cfRule>
    <cfRule type="cellIs" dxfId="14" priority="4" operator="lessThan">
      <formula>12</formula>
    </cfRule>
  </conditionalFormatting>
  <conditionalFormatting sqref="D8:D35">
    <cfRule type="cellIs" dxfId="13" priority="1" operator="greaterThan">
      <formula>470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0"/>
  <dimension ref="A1:I57"/>
  <sheetViews>
    <sheetView workbookViewId="0">
      <pane ySplit="5" topLeftCell="A6" activePane="bottomLeft" state="frozen"/>
      <selection pane="bottomLeft" activeCell="F6" sqref="F6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9" customWidth="1"/>
    <col min="5" max="5" width="13" style="9" customWidth="1"/>
    <col min="6" max="7" width="10.453125" style="9" bestFit="1" customWidth="1"/>
    <col min="8" max="16384" width="10.81640625" style="6"/>
  </cols>
  <sheetData>
    <row r="1" spans="1:9" s="16" customFormat="1" ht="17.5" x14ac:dyDescent="0.35">
      <c r="A1" s="129" t="s">
        <v>514</v>
      </c>
      <c r="B1" s="129"/>
      <c r="C1" s="13" t="s">
        <v>114</v>
      </c>
      <c r="D1" s="14">
        <f>COUNT(D7:D57)</f>
        <v>51</v>
      </c>
      <c r="E1" s="14">
        <f>COUNT(E7:E57)</f>
        <v>46</v>
      </c>
      <c r="F1" s="14">
        <f>COUNT(F7:F30)</f>
        <v>0</v>
      </c>
      <c r="G1" s="14">
        <f>COUNT(G7:G30)</f>
        <v>0</v>
      </c>
    </row>
    <row r="2" spans="1:9" s="16" customFormat="1" ht="11.5" customHeight="1" x14ac:dyDescent="0.35">
      <c r="A2" s="130" t="s">
        <v>515</v>
      </c>
      <c r="B2" s="130"/>
      <c r="C2" s="13" t="s">
        <v>109</v>
      </c>
      <c r="D2" s="14">
        <f>SUM(D7:D57)</f>
        <v>22615</v>
      </c>
      <c r="E2" s="14">
        <f>SUM(E7:E57)</f>
        <v>17915</v>
      </c>
      <c r="F2" s="14">
        <v>0</v>
      </c>
      <c r="G2" s="14">
        <f>SUM(G7:G33)</f>
        <v>0</v>
      </c>
    </row>
    <row r="3" spans="1:9" s="16" customFormat="1" ht="11.5" customHeight="1" x14ac:dyDescent="0.35">
      <c r="A3" s="17"/>
      <c r="B3" s="17"/>
      <c r="C3" s="13" t="s">
        <v>108</v>
      </c>
      <c r="D3" s="17">
        <f>D2/D1</f>
        <v>443.43137254901961</v>
      </c>
      <c r="E3" s="14">
        <f>E2/E1</f>
        <v>389.45652173913044</v>
      </c>
      <c r="F3" s="14"/>
      <c r="G3" s="14" t="e">
        <f>G2/COUNT(G7:G33)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16">
        <f>((SUM(D7:D53)-SUM(E7:E53))/(D6-E6))/47</f>
        <v>0.39613661814109741</v>
      </c>
      <c r="E4" s="14"/>
      <c r="F4" s="18" t="e">
        <f>+((F2-10617)/(E6-#REF!))/F1</f>
        <v>#REF!</v>
      </c>
      <c r="G4" s="18" t="e">
        <f>((G2-E2)/(G6-#REF!))/G1</f>
        <v>#REF!</v>
      </c>
    </row>
    <row r="5" spans="1:9" s="16" customFormat="1" ht="11.5" customHeight="1" x14ac:dyDescent="0.35">
      <c r="A5" s="20"/>
      <c r="B5" s="20"/>
      <c r="C5" s="21" t="s">
        <v>112</v>
      </c>
      <c r="D5" s="122">
        <f>D4*30</f>
        <v>11.884098544232922</v>
      </c>
      <c r="E5" s="22"/>
      <c r="F5" s="23" t="e">
        <f>+F4*30</f>
        <v>#REF!</v>
      </c>
      <c r="G5" s="30" t="e">
        <f>G4*30</f>
        <v>#REF!</v>
      </c>
    </row>
    <row r="6" spans="1:9" x14ac:dyDescent="0.45">
      <c r="A6" s="36" t="s">
        <v>182</v>
      </c>
      <c r="B6" s="36" t="s">
        <v>521</v>
      </c>
      <c r="C6" s="7" t="s">
        <v>0</v>
      </c>
      <c r="D6" s="28">
        <v>43783</v>
      </c>
      <c r="E6" s="28">
        <v>43631</v>
      </c>
      <c r="F6" s="28"/>
      <c r="G6" s="28"/>
      <c r="H6" s="6" t="s">
        <v>528</v>
      </c>
      <c r="I6"/>
    </row>
    <row r="7" spans="1:9" x14ac:dyDescent="0.45">
      <c r="A7" s="3">
        <v>8420</v>
      </c>
      <c r="C7" t="s">
        <v>23</v>
      </c>
      <c r="D7" s="3">
        <v>450</v>
      </c>
      <c r="E7" s="3">
        <v>435</v>
      </c>
      <c r="H7" s="27">
        <f t="shared" ref="H7:H31" si="0">((D7-E7)/($D$6-$E$6))*30</f>
        <v>2.9605263157894739</v>
      </c>
      <c r="I7"/>
    </row>
    <row r="8" spans="1:9" x14ac:dyDescent="0.45">
      <c r="A8" s="3">
        <v>8422</v>
      </c>
      <c r="C8" t="s">
        <v>177</v>
      </c>
      <c r="D8" s="3">
        <v>480</v>
      </c>
      <c r="E8" s="3">
        <v>420</v>
      </c>
      <c r="F8" s="31"/>
      <c r="G8" s="31"/>
      <c r="H8" s="27">
        <f t="shared" si="0"/>
        <v>11.842105263157896</v>
      </c>
      <c r="I8"/>
    </row>
    <row r="9" spans="1:9" x14ac:dyDescent="0.45">
      <c r="A9" s="3">
        <v>8429</v>
      </c>
      <c r="C9" t="s">
        <v>23</v>
      </c>
      <c r="D9" s="3">
        <v>450</v>
      </c>
      <c r="E9" s="3">
        <v>415</v>
      </c>
      <c r="H9" s="27">
        <f t="shared" si="0"/>
        <v>6.9078947368421053</v>
      </c>
      <c r="I9" s="48"/>
    </row>
    <row r="10" spans="1:9" x14ac:dyDescent="0.45">
      <c r="A10" s="3">
        <v>8433</v>
      </c>
      <c r="C10" t="s">
        <v>178</v>
      </c>
      <c r="D10" s="3">
        <v>400</v>
      </c>
      <c r="E10" s="3">
        <v>380</v>
      </c>
      <c r="H10" s="27">
        <f t="shared" si="0"/>
        <v>3.9473684210526314</v>
      </c>
      <c r="I10" s="48"/>
    </row>
    <row r="11" spans="1:9" x14ac:dyDescent="0.45">
      <c r="A11" s="3">
        <v>8436</v>
      </c>
      <c r="C11" t="s">
        <v>119</v>
      </c>
      <c r="D11" s="3">
        <v>450</v>
      </c>
      <c r="E11" s="3">
        <v>420</v>
      </c>
      <c r="H11" s="27">
        <f t="shared" si="0"/>
        <v>5.9210526315789478</v>
      </c>
      <c r="I11" s="49"/>
    </row>
    <row r="12" spans="1:9" x14ac:dyDescent="0.45">
      <c r="A12" s="3">
        <v>8438</v>
      </c>
      <c r="C12" t="s">
        <v>179</v>
      </c>
      <c r="D12" s="3">
        <v>430</v>
      </c>
      <c r="E12" s="3">
        <v>410</v>
      </c>
      <c r="F12" s="3"/>
      <c r="H12" s="27">
        <f t="shared" si="0"/>
        <v>3.9473684210526314</v>
      </c>
      <c r="I12" s="49"/>
    </row>
    <row r="13" spans="1:9" x14ac:dyDescent="0.45">
      <c r="A13" s="3">
        <v>8439</v>
      </c>
      <c r="C13" t="s">
        <v>16</v>
      </c>
      <c r="D13" s="3">
        <v>455</v>
      </c>
      <c r="E13" s="3">
        <v>410</v>
      </c>
      <c r="H13" s="27">
        <f t="shared" si="0"/>
        <v>8.8815789473684212</v>
      </c>
      <c r="I13" s="49"/>
    </row>
    <row r="14" spans="1:9" x14ac:dyDescent="0.45">
      <c r="A14" s="3">
        <v>8441</v>
      </c>
      <c r="C14" t="s">
        <v>27</v>
      </c>
      <c r="D14" s="3">
        <v>445</v>
      </c>
      <c r="E14" s="3">
        <v>400</v>
      </c>
      <c r="H14" s="27">
        <f t="shared" si="0"/>
        <v>8.8815789473684212</v>
      </c>
      <c r="I14" s="49"/>
    </row>
    <row r="15" spans="1:9" x14ac:dyDescent="0.45">
      <c r="A15" s="3">
        <v>8442</v>
      </c>
      <c r="C15" t="s">
        <v>128</v>
      </c>
      <c r="D15" s="3">
        <v>450</v>
      </c>
      <c r="E15" s="3">
        <v>400</v>
      </c>
      <c r="F15" s="3"/>
      <c r="G15" s="3"/>
      <c r="H15" s="27">
        <f t="shared" si="0"/>
        <v>9.8684210526315788</v>
      </c>
      <c r="I15" s="49"/>
    </row>
    <row r="16" spans="1:9" x14ac:dyDescent="0.45">
      <c r="A16" s="3">
        <v>8448</v>
      </c>
      <c r="C16" t="s">
        <v>126</v>
      </c>
      <c r="D16" s="3">
        <v>460</v>
      </c>
      <c r="E16" s="3">
        <v>430</v>
      </c>
      <c r="H16" s="27">
        <f t="shared" si="0"/>
        <v>5.9210526315789478</v>
      </c>
      <c r="I16" s="49"/>
    </row>
    <row r="17" spans="1:9" x14ac:dyDescent="0.45">
      <c r="A17" s="3">
        <v>8455</v>
      </c>
      <c r="C17" t="s">
        <v>23</v>
      </c>
      <c r="D17" s="3">
        <v>440</v>
      </c>
      <c r="E17" s="3">
        <v>400</v>
      </c>
      <c r="F17" s="3"/>
      <c r="G17" s="3"/>
      <c r="H17" s="27">
        <f t="shared" si="0"/>
        <v>7.8947368421052628</v>
      </c>
      <c r="I17" s="49"/>
    </row>
    <row r="18" spans="1:9" x14ac:dyDescent="0.45">
      <c r="A18" s="9">
        <v>8458</v>
      </c>
      <c r="C18" s="6" t="s">
        <v>23</v>
      </c>
      <c r="D18" s="9">
        <v>495</v>
      </c>
      <c r="E18" s="9">
        <v>415</v>
      </c>
      <c r="H18" s="27">
        <f t="shared" si="0"/>
        <v>15.789473684210526</v>
      </c>
      <c r="I18" s="49"/>
    </row>
    <row r="19" spans="1:9" x14ac:dyDescent="0.45">
      <c r="A19" s="3">
        <v>8459</v>
      </c>
      <c r="C19" t="s">
        <v>180</v>
      </c>
      <c r="D19" s="3">
        <v>450</v>
      </c>
      <c r="E19" s="3">
        <v>405</v>
      </c>
      <c r="F19" s="3"/>
      <c r="G19" s="3"/>
      <c r="H19" s="27">
        <f t="shared" si="0"/>
        <v>8.8815789473684212</v>
      </c>
      <c r="I19" s="49"/>
    </row>
    <row r="20" spans="1:9" x14ac:dyDescent="0.45">
      <c r="A20" s="3">
        <v>8460</v>
      </c>
      <c r="C20" t="s">
        <v>23</v>
      </c>
      <c r="D20" s="3">
        <v>480</v>
      </c>
      <c r="E20" s="3">
        <v>430</v>
      </c>
      <c r="H20" s="27">
        <f t="shared" si="0"/>
        <v>9.8684210526315788</v>
      </c>
    </row>
    <row r="21" spans="1:9" x14ac:dyDescent="0.45">
      <c r="A21" s="3">
        <v>8462</v>
      </c>
      <c r="C21" t="s">
        <v>23</v>
      </c>
      <c r="D21" s="3">
        <v>430</v>
      </c>
      <c r="E21" s="3">
        <v>360</v>
      </c>
      <c r="H21" s="27">
        <f t="shared" si="0"/>
        <v>13.815789473684211</v>
      </c>
    </row>
    <row r="22" spans="1:9" x14ac:dyDescent="0.45">
      <c r="A22" s="3">
        <v>8463</v>
      </c>
      <c r="C22" t="s">
        <v>27</v>
      </c>
      <c r="D22" s="3">
        <v>450</v>
      </c>
      <c r="E22" s="3">
        <v>415</v>
      </c>
      <c r="F22" s="31"/>
      <c r="G22" s="31"/>
      <c r="H22" s="27">
        <f t="shared" si="0"/>
        <v>6.9078947368421053</v>
      </c>
    </row>
    <row r="23" spans="1:9" x14ac:dyDescent="0.45">
      <c r="A23" s="3">
        <v>8464</v>
      </c>
      <c r="C23" t="s">
        <v>23</v>
      </c>
      <c r="D23" s="3">
        <v>450</v>
      </c>
      <c r="E23" s="3">
        <v>410</v>
      </c>
      <c r="H23" s="27">
        <f t="shared" si="0"/>
        <v>7.8947368421052628</v>
      </c>
    </row>
    <row r="24" spans="1:9" x14ac:dyDescent="0.45">
      <c r="A24" s="3">
        <v>8465</v>
      </c>
      <c r="C24" t="s">
        <v>126</v>
      </c>
      <c r="D24" s="3">
        <v>480</v>
      </c>
      <c r="E24" s="3">
        <v>425</v>
      </c>
      <c r="H24" s="27">
        <f t="shared" si="0"/>
        <v>10.855263157894738</v>
      </c>
    </row>
    <row r="25" spans="1:9" x14ac:dyDescent="0.45">
      <c r="A25" s="3">
        <v>8466</v>
      </c>
      <c r="C25" t="s">
        <v>181</v>
      </c>
      <c r="D25" s="3">
        <v>460</v>
      </c>
      <c r="E25" s="3">
        <v>410</v>
      </c>
      <c r="H25" s="27">
        <f t="shared" si="0"/>
        <v>9.8684210526315788</v>
      </c>
    </row>
    <row r="26" spans="1:9" x14ac:dyDescent="0.45">
      <c r="A26" s="3">
        <v>8470</v>
      </c>
      <c r="C26" t="s">
        <v>23</v>
      </c>
      <c r="D26" s="3">
        <v>480</v>
      </c>
      <c r="E26" s="3">
        <v>430</v>
      </c>
      <c r="H26" s="27">
        <f t="shared" si="0"/>
        <v>9.8684210526315788</v>
      </c>
    </row>
    <row r="27" spans="1:9" x14ac:dyDescent="0.45">
      <c r="A27" s="3">
        <v>8471</v>
      </c>
      <c r="C27" t="s">
        <v>23</v>
      </c>
      <c r="D27" s="3">
        <v>470</v>
      </c>
      <c r="E27" s="3">
        <v>420</v>
      </c>
      <c r="H27" s="27">
        <f t="shared" si="0"/>
        <v>9.8684210526315788</v>
      </c>
    </row>
    <row r="28" spans="1:9" x14ac:dyDescent="0.45">
      <c r="A28" s="3">
        <v>8476</v>
      </c>
      <c r="C28" t="s">
        <v>18</v>
      </c>
      <c r="D28" s="3">
        <v>430</v>
      </c>
      <c r="E28" s="3">
        <v>400</v>
      </c>
      <c r="H28" s="27">
        <f t="shared" si="0"/>
        <v>5.9210526315789478</v>
      </c>
    </row>
    <row r="29" spans="1:9" x14ac:dyDescent="0.45">
      <c r="A29" s="3">
        <v>8477</v>
      </c>
      <c r="C29" t="s">
        <v>9</v>
      </c>
      <c r="D29" s="3">
        <v>430</v>
      </c>
      <c r="E29" s="3">
        <v>430</v>
      </c>
      <c r="H29" s="27">
        <f t="shared" si="0"/>
        <v>0</v>
      </c>
    </row>
    <row r="30" spans="1:9" x14ac:dyDescent="0.45">
      <c r="A30" s="3">
        <v>8478</v>
      </c>
      <c r="C30" t="s">
        <v>15</v>
      </c>
      <c r="D30" s="3">
        <v>460</v>
      </c>
      <c r="E30" s="3">
        <v>415</v>
      </c>
      <c r="H30" s="27">
        <f t="shared" si="0"/>
        <v>8.8815789473684212</v>
      </c>
    </row>
    <row r="31" spans="1:9" x14ac:dyDescent="0.45">
      <c r="A31" s="40">
        <v>8598</v>
      </c>
      <c r="C31" s="6" t="s">
        <v>9</v>
      </c>
      <c r="D31" s="9">
        <v>410</v>
      </c>
      <c r="E31" s="9">
        <v>330</v>
      </c>
      <c r="H31" s="27">
        <f t="shared" si="0"/>
        <v>15.789473684210526</v>
      </c>
    </row>
    <row r="32" spans="1:9" x14ac:dyDescent="0.45">
      <c r="A32" s="9">
        <v>9328</v>
      </c>
      <c r="C32" s="6" t="s">
        <v>23</v>
      </c>
      <c r="D32" s="40">
        <v>490</v>
      </c>
      <c r="E32" s="9">
        <v>410</v>
      </c>
      <c r="F32" s="98">
        <v>43593</v>
      </c>
      <c r="H32" s="27">
        <f>((D32-E32)/($D$6-$F32))*30</f>
        <v>12.631578947368421</v>
      </c>
    </row>
    <row r="33" spans="1:8" x14ac:dyDescent="0.45">
      <c r="A33" s="9">
        <v>84104</v>
      </c>
      <c r="C33" s="6" t="s">
        <v>15</v>
      </c>
      <c r="D33" s="9">
        <v>460</v>
      </c>
      <c r="E33" s="9">
        <v>372</v>
      </c>
      <c r="H33" s="27">
        <f>((D33-E33)/($D$6-$E$6))*30</f>
        <v>17.368421052631579</v>
      </c>
    </row>
    <row r="34" spans="1:8" x14ac:dyDescent="0.45">
      <c r="A34" s="9">
        <v>84106</v>
      </c>
      <c r="C34" s="6" t="s">
        <v>16</v>
      </c>
      <c r="D34" s="9">
        <v>450</v>
      </c>
      <c r="H34" s="27"/>
    </row>
    <row r="35" spans="1:8" x14ac:dyDescent="0.45">
      <c r="A35" s="9">
        <v>84107</v>
      </c>
      <c r="C35" s="6" t="s">
        <v>9</v>
      </c>
      <c r="D35" s="9">
        <v>440</v>
      </c>
      <c r="E35" s="9">
        <v>412</v>
      </c>
      <c r="H35" s="27">
        <f t="shared" ref="H35:H53" si="1">((D35-E35)/($D$6-$E$6))*30</f>
        <v>5.5263157894736841</v>
      </c>
    </row>
    <row r="36" spans="1:8" x14ac:dyDescent="0.45">
      <c r="A36" s="9">
        <v>84108</v>
      </c>
      <c r="C36" s="6" t="s">
        <v>23</v>
      </c>
      <c r="D36" s="9">
        <v>470</v>
      </c>
      <c r="E36" s="9">
        <v>412</v>
      </c>
      <c r="H36" s="27">
        <f t="shared" si="1"/>
        <v>11.447368421052632</v>
      </c>
    </row>
    <row r="37" spans="1:8" x14ac:dyDescent="0.45">
      <c r="A37" s="9">
        <v>84110</v>
      </c>
      <c r="C37" s="6" t="s">
        <v>16</v>
      </c>
      <c r="D37" s="9">
        <v>485</v>
      </c>
      <c r="E37" s="9">
        <v>433</v>
      </c>
      <c r="H37" s="27">
        <f t="shared" si="1"/>
        <v>10.263157894736842</v>
      </c>
    </row>
    <row r="38" spans="1:8" x14ac:dyDescent="0.45">
      <c r="A38" s="9">
        <v>84111</v>
      </c>
      <c r="C38" s="6" t="s">
        <v>16</v>
      </c>
      <c r="D38" s="9">
        <v>485</v>
      </c>
      <c r="E38" s="9">
        <v>400</v>
      </c>
      <c r="H38" s="27">
        <f t="shared" si="1"/>
        <v>16.776315789473685</v>
      </c>
    </row>
    <row r="39" spans="1:8" x14ac:dyDescent="0.45">
      <c r="A39" s="9">
        <v>84112</v>
      </c>
      <c r="C39" s="6" t="s">
        <v>23</v>
      </c>
      <c r="D39" s="9">
        <v>500</v>
      </c>
      <c r="E39" s="9">
        <v>400</v>
      </c>
      <c r="H39" s="27">
        <f t="shared" si="1"/>
        <v>19.736842105263158</v>
      </c>
    </row>
    <row r="40" spans="1:8" x14ac:dyDescent="0.45">
      <c r="A40" s="9">
        <v>84113</v>
      </c>
      <c r="C40" s="6" t="s">
        <v>16</v>
      </c>
      <c r="D40" s="9">
        <v>455</v>
      </c>
      <c r="E40" s="9">
        <v>405</v>
      </c>
      <c r="H40" s="27">
        <f t="shared" si="1"/>
        <v>9.8684210526315788</v>
      </c>
    </row>
    <row r="41" spans="1:8" x14ac:dyDescent="0.45">
      <c r="A41" s="9">
        <v>84114</v>
      </c>
      <c r="C41" s="6" t="s">
        <v>250</v>
      </c>
      <c r="D41" s="9">
        <v>400</v>
      </c>
      <c r="E41" s="9">
        <v>365</v>
      </c>
      <c r="H41" s="27">
        <f t="shared" si="1"/>
        <v>6.9078947368421053</v>
      </c>
    </row>
    <row r="42" spans="1:8" x14ac:dyDescent="0.45">
      <c r="A42" s="9">
        <v>84116</v>
      </c>
      <c r="C42" s="6" t="s">
        <v>26</v>
      </c>
      <c r="D42" s="9">
        <v>450</v>
      </c>
      <c r="E42" s="9">
        <v>392</v>
      </c>
      <c r="H42" s="27">
        <f t="shared" si="1"/>
        <v>11.447368421052632</v>
      </c>
    </row>
    <row r="43" spans="1:8" x14ac:dyDescent="0.45">
      <c r="A43" s="9">
        <v>84117</v>
      </c>
      <c r="C43" s="6" t="s">
        <v>15</v>
      </c>
      <c r="D43" s="9">
        <v>425</v>
      </c>
      <c r="E43" s="9">
        <v>355</v>
      </c>
      <c r="H43" s="27">
        <f t="shared" si="1"/>
        <v>13.815789473684211</v>
      </c>
    </row>
    <row r="44" spans="1:8" x14ac:dyDescent="0.45">
      <c r="A44" s="9">
        <v>84118</v>
      </c>
      <c r="C44" s="6" t="s">
        <v>74</v>
      </c>
      <c r="D44" s="9">
        <v>300</v>
      </c>
      <c r="E44" s="9">
        <v>258</v>
      </c>
      <c r="H44" s="27">
        <f t="shared" si="1"/>
        <v>8.2894736842105274</v>
      </c>
    </row>
    <row r="45" spans="1:8" x14ac:dyDescent="0.45">
      <c r="A45" s="9">
        <v>84119</v>
      </c>
      <c r="C45" s="6" t="s">
        <v>15</v>
      </c>
      <c r="D45" s="9">
        <v>410</v>
      </c>
      <c r="E45" s="9">
        <v>353</v>
      </c>
      <c r="H45" s="27">
        <f t="shared" si="1"/>
        <v>11.25</v>
      </c>
    </row>
    <row r="46" spans="1:8" x14ac:dyDescent="0.45">
      <c r="A46" s="9">
        <v>84121</v>
      </c>
      <c r="C46" s="6" t="s">
        <v>16</v>
      </c>
      <c r="D46" s="9">
        <v>385</v>
      </c>
      <c r="E46" s="9">
        <v>338</v>
      </c>
      <c r="H46" s="27">
        <f t="shared" si="1"/>
        <v>9.276315789473685</v>
      </c>
    </row>
    <row r="47" spans="1:8" x14ac:dyDescent="0.45">
      <c r="A47" s="9">
        <v>84123</v>
      </c>
      <c r="C47" s="6" t="s">
        <v>181</v>
      </c>
      <c r="D47" s="9">
        <v>430</v>
      </c>
      <c r="E47" s="9">
        <v>375</v>
      </c>
      <c r="H47" s="27">
        <f t="shared" si="1"/>
        <v>10.855263157894738</v>
      </c>
    </row>
    <row r="48" spans="1:8" x14ac:dyDescent="0.45">
      <c r="A48" s="9">
        <v>84124</v>
      </c>
      <c r="C48" s="6" t="s">
        <v>20</v>
      </c>
      <c r="D48" s="9">
        <v>490</v>
      </c>
      <c r="E48" s="9">
        <v>425</v>
      </c>
      <c r="H48" s="27">
        <f t="shared" si="1"/>
        <v>12.828947368421053</v>
      </c>
    </row>
    <row r="49" spans="1:8" x14ac:dyDescent="0.45">
      <c r="A49" s="9">
        <v>84126</v>
      </c>
      <c r="C49" s="6" t="s">
        <v>16</v>
      </c>
      <c r="D49" s="9">
        <v>450</v>
      </c>
      <c r="E49" s="9">
        <v>393</v>
      </c>
      <c r="H49" s="27">
        <f t="shared" si="1"/>
        <v>11.25</v>
      </c>
    </row>
    <row r="50" spans="1:8" x14ac:dyDescent="0.45">
      <c r="A50" s="9">
        <v>84128</v>
      </c>
      <c r="C50" s="6" t="s">
        <v>9</v>
      </c>
      <c r="D50" s="9">
        <v>400</v>
      </c>
      <c r="E50" s="9">
        <v>313</v>
      </c>
      <c r="H50" s="27">
        <f t="shared" si="1"/>
        <v>17.171052631578945</v>
      </c>
    </row>
    <row r="51" spans="1:8" x14ac:dyDescent="0.45">
      <c r="A51" s="9">
        <v>84129</v>
      </c>
      <c r="C51" s="6" t="s">
        <v>15</v>
      </c>
      <c r="D51" s="9">
        <v>330</v>
      </c>
      <c r="E51" s="9">
        <v>265</v>
      </c>
      <c r="H51" s="27">
        <f t="shared" si="1"/>
        <v>12.828947368421053</v>
      </c>
    </row>
    <row r="52" spans="1:8" x14ac:dyDescent="0.45">
      <c r="A52" s="9">
        <v>84130</v>
      </c>
      <c r="C52" s="6" t="s">
        <v>251</v>
      </c>
      <c r="D52" s="9">
        <v>360</v>
      </c>
      <c r="E52" s="9">
        <v>324</v>
      </c>
      <c r="H52" s="27">
        <f t="shared" si="1"/>
        <v>7.1052631578947363</v>
      </c>
    </row>
    <row r="53" spans="1:8" x14ac:dyDescent="0.45">
      <c r="A53" s="9">
        <v>84132</v>
      </c>
      <c r="C53" s="6" t="s">
        <v>15</v>
      </c>
      <c r="D53" s="9">
        <v>395</v>
      </c>
      <c r="E53" s="9">
        <v>300</v>
      </c>
      <c r="H53" s="27">
        <f t="shared" si="1"/>
        <v>18.75</v>
      </c>
    </row>
    <row r="54" spans="1:8" x14ac:dyDescent="0.45">
      <c r="B54" s="27"/>
      <c r="C54" s="6" t="s">
        <v>513</v>
      </c>
      <c r="D54" s="9">
        <v>455</v>
      </c>
      <c r="F54" s="31"/>
      <c r="G54" s="31"/>
    </row>
    <row r="55" spans="1:8" x14ac:dyDescent="0.45">
      <c r="B55" s="27"/>
      <c r="C55" s="6" t="s">
        <v>23</v>
      </c>
      <c r="D55" s="9">
        <v>500</v>
      </c>
      <c r="F55" s="31"/>
      <c r="G55" s="31"/>
    </row>
    <row r="56" spans="1:8" x14ac:dyDescent="0.45">
      <c r="B56" s="27"/>
      <c r="C56" s="6" t="s">
        <v>18</v>
      </c>
      <c r="D56" s="9">
        <v>480</v>
      </c>
    </row>
    <row r="57" spans="1:8" x14ac:dyDescent="0.45">
      <c r="B57" s="27"/>
      <c r="C57" s="6" t="s">
        <v>118</v>
      </c>
      <c r="D57" s="9">
        <v>435</v>
      </c>
    </row>
  </sheetData>
  <autoFilter ref="A1:G57" xr:uid="{00000000-0009-0000-0000-000003000000}">
    <filterColumn colId="0" showButton="0"/>
  </autoFilter>
  <sortState xmlns:xlrd2="http://schemas.microsoft.com/office/spreadsheetml/2017/richdata2" ref="A7:G57">
    <sortCondition ref="A7:A57"/>
  </sortState>
  <mergeCells count="2">
    <mergeCell ref="A1:B1"/>
    <mergeCell ref="A2:B2"/>
  </mergeCells>
  <conditionalFormatting sqref="H7:H53">
    <cfRule type="cellIs" dxfId="12" priority="2" operator="greaterThan">
      <formula>13</formula>
    </cfRule>
    <cfRule type="cellIs" dxfId="11" priority="3" operator="lessThan">
      <formula>12</formula>
    </cfRule>
  </conditionalFormatting>
  <conditionalFormatting sqref="D7:D57">
    <cfRule type="cellIs" dxfId="10" priority="1" operator="greaterThan">
      <formula>470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7"/>
  <dimension ref="A1:J50"/>
  <sheetViews>
    <sheetView workbookViewId="0">
      <pane ySplit="5" topLeftCell="A6" activePane="bottomLeft" state="frozen"/>
      <selection pane="bottomLeft" activeCell="A6" sqref="A6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9" customWidth="1"/>
    <col min="5" max="5" width="12.453125" style="9" customWidth="1"/>
    <col min="6" max="6" width="10.453125" style="9" bestFit="1" customWidth="1"/>
    <col min="7" max="7" width="9.81640625" style="9" bestFit="1" customWidth="1"/>
    <col min="8" max="16384" width="10.81640625" style="6"/>
  </cols>
  <sheetData>
    <row r="1" spans="1:10" s="16" customFormat="1" ht="17.5" x14ac:dyDescent="0.35">
      <c r="A1" s="129" t="s">
        <v>519</v>
      </c>
      <c r="B1" s="129"/>
      <c r="C1" s="13" t="s">
        <v>114</v>
      </c>
      <c r="D1" s="14">
        <f>COUNT(D7:D50)</f>
        <v>44</v>
      </c>
      <c r="E1" s="14">
        <f>COUNT(E7:E50)</f>
        <v>44</v>
      </c>
      <c r="F1" s="14">
        <f>COUNT(F7:F38)</f>
        <v>0</v>
      </c>
      <c r="G1" s="14">
        <f>COUNT(G7:G38)</f>
        <v>0</v>
      </c>
      <c r="H1" s="45"/>
    </row>
    <row r="2" spans="1:10" s="16" customFormat="1" ht="11.5" customHeight="1" x14ac:dyDescent="0.35">
      <c r="A2" s="130" t="s">
        <v>520</v>
      </c>
      <c r="B2" s="130"/>
      <c r="C2" s="13" t="s">
        <v>109</v>
      </c>
      <c r="D2" s="14">
        <f>SUM(D7:D50)</f>
        <v>14080</v>
      </c>
      <c r="E2" s="14">
        <f>SUM(E7:E50)</f>
        <v>12515</v>
      </c>
      <c r="F2" s="14">
        <f>SUM(F7:F41)</f>
        <v>0</v>
      </c>
      <c r="G2" s="14">
        <f>SUM(G7:G41)</f>
        <v>0</v>
      </c>
    </row>
    <row r="3" spans="1:10" s="16" customFormat="1" ht="11.5" customHeight="1" x14ac:dyDescent="0.35">
      <c r="A3" s="17"/>
      <c r="B3" s="17"/>
      <c r="C3" s="13" t="s">
        <v>108</v>
      </c>
      <c r="D3" s="14">
        <f>D2/COUNT(D7:D50)</f>
        <v>320</v>
      </c>
      <c r="E3" s="14">
        <f>E2/COUNT(E7:E50)</f>
        <v>284.43181818181819</v>
      </c>
      <c r="F3" s="14" t="e">
        <f>F2/COUNT(F7:F41)</f>
        <v>#DIV/0!</v>
      </c>
      <c r="G3" s="14" t="e">
        <f>G2/COUNT(G7:G41)</f>
        <v>#DIV/0!</v>
      </c>
    </row>
    <row r="4" spans="1:10" s="16" customFormat="1" ht="11.5" customHeight="1" x14ac:dyDescent="0.35">
      <c r="A4" s="17"/>
      <c r="B4" s="17"/>
      <c r="C4" s="13" t="s">
        <v>110</v>
      </c>
      <c r="D4" s="120">
        <f>((D2-E2)/(D6-E6))/D1</f>
        <v>0.37838491295938109</v>
      </c>
      <c r="E4" s="14"/>
      <c r="F4" s="18" t="e">
        <f>+((F2-10617)/(F6-E6))/F1</f>
        <v>#DIV/0!</v>
      </c>
      <c r="G4" s="18" t="e">
        <f>((G2-E2)/(G6-E6))/G1</f>
        <v>#DIV/0!</v>
      </c>
    </row>
    <row r="5" spans="1:10" s="16" customFormat="1" ht="11.5" customHeight="1" x14ac:dyDescent="0.35">
      <c r="A5" s="20"/>
      <c r="B5" s="20"/>
      <c r="C5" s="21" t="s">
        <v>112</v>
      </c>
      <c r="D5" s="122">
        <f>D4*30</f>
        <v>11.351547388781432</v>
      </c>
      <c r="E5" s="22"/>
      <c r="F5" s="23" t="e">
        <f>+F4*30</f>
        <v>#DIV/0!</v>
      </c>
      <c r="G5" s="30" t="e">
        <f>G4*30</f>
        <v>#DIV/0!</v>
      </c>
    </row>
    <row r="6" spans="1:10" x14ac:dyDescent="0.45">
      <c r="A6" s="36" t="s">
        <v>182</v>
      </c>
      <c r="B6" s="36" t="s">
        <v>39</v>
      </c>
      <c r="C6" s="7" t="s">
        <v>521</v>
      </c>
      <c r="D6" s="28">
        <v>43783</v>
      </c>
      <c r="E6" s="28">
        <v>43689</v>
      </c>
      <c r="F6" s="28"/>
      <c r="G6" s="28"/>
      <c r="H6"/>
    </row>
    <row r="7" spans="1:10" x14ac:dyDescent="0.45">
      <c r="A7" s="9">
        <v>9801</v>
      </c>
      <c r="B7"/>
      <c r="C7" s="59">
        <f>((D7-E7)/($D$6-$E$6))*30</f>
        <v>9.5744680851063837</v>
      </c>
      <c r="D7" s="3">
        <v>300</v>
      </c>
      <c r="E7" s="3">
        <v>270</v>
      </c>
      <c r="F7" s="121"/>
      <c r="G7"/>
      <c r="H7"/>
      <c r="I7"/>
    </row>
    <row r="8" spans="1:10" x14ac:dyDescent="0.45">
      <c r="A8" s="9">
        <v>9802</v>
      </c>
      <c r="B8"/>
      <c r="C8" s="59">
        <f t="shared" ref="C8:C50" si="0">((D8-E8)/($D$6-$E$6))*30</f>
        <v>7.6595744680851059</v>
      </c>
      <c r="D8" s="3">
        <v>320</v>
      </c>
      <c r="E8" s="3">
        <v>296</v>
      </c>
      <c r="F8" s="33"/>
      <c r="G8"/>
      <c r="H8"/>
      <c r="I8"/>
    </row>
    <row r="9" spans="1:10" x14ac:dyDescent="0.45">
      <c r="A9" s="9">
        <v>9803</v>
      </c>
      <c r="B9"/>
      <c r="C9" s="59">
        <f t="shared" si="0"/>
        <v>8.9361702127659566</v>
      </c>
      <c r="D9" s="3">
        <v>300</v>
      </c>
      <c r="E9" s="3">
        <v>272</v>
      </c>
      <c r="F9" s="33"/>
      <c r="G9"/>
      <c r="H9"/>
      <c r="I9"/>
      <c r="J9"/>
    </row>
    <row r="10" spans="1:10" x14ac:dyDescent="0.45">
      <c r="A10" s="9">
        <v>9804</v>
      </c>
      <c r="B10"/>
      <c r="C10" s="59">
        <f t="shared" si="0"/>
        <v>7.3404255319148932</v>
      </c>
      <c r="D10" s="3">
        <v>360</v>
      </c>
      <c r="E10" s="3">
        <v>337</v>
      </c>
      <c r="F10" s="33"/>
      <c r="G10"/>
      <c r="H10"/>
      <c r="I10"/>
      <c r="J10"/>
    </row>
    <row r="11" spans="1:10" x14ac:dyDescent="0.45">
      <c r="A11" s="9">
        <v>9805</v>
      </c>
      <c r="B11"/>
      <c r="C11" s="59">
        <f t="shared" si="0"/>
        <v>10.531914893617021</v>
      </c>
      <c r="D11" s="3">
        <v>270</v>
      </c>
      <c r="E11" s="3">
        <v>237</v>
      </c>
      <c r="F11" s="3"/>
      <c r="G11"/>
      <c r="H11"/>
      <c r="I11"/>
      <c r="J11"/>
    </row>
    <row r="12" spans="1:10" x14ac:dyDescent="0.45">
      <c r="A12" s="9">
        <v>9806</v>
      </c>
      <c r="B12"/>
      <c r="C12" s="59">
        <f t="shared" si="0"/>
        <v>14.042553191489361</v>
      </c>
      <c r="D12" s="3">
        <v>310</v>
      </c>
      <c r="E12" s="3">
        <v>266</v>
      </c>
      <c r="F12" s="33"/>
      <c r="G12"/>
      <c r="H12"/>
      <c r="I12"/>
      <c r="J12"/>
    </row>
    <row r="13" spans="1:10" x14ac:dyDescent="0.45">
      <c r="A13" s="9">
        <v>9807</v>
      </c>
      <c r="B13"/>
      <c r="C13" s="59">
        <f t="shared" si="0"/>
        <v>14.361702127659575</v>
      </c>
      <c r="D13" s="3">
        <v>340</v>
      </c>
      <c r="E13" s="3">
        <v>295</v>
      </c>
      <c r="F13" s="33"/>
      <c r="G13"/>
      <c r="H13" s="41"/>
      <c r="I13"/>
    </row>
    <row r="14" spans="1:10" x14ac:dyDescent="0.45">
      <c r="A14" s="9">
        <v>9808</v>
      </c>
      <c r="B14"/>
      <c r="C14" s="59">
        <f t="shared" si="0"/>
        <v>11.170212765957446</v>
      </c>
      <c r="D14" s="3">
        <v>350</v>
      </c>
      <c r="E14" s="3">
        <v>315</v>
      </c>
      <c r="F14" s="3"/>
      <c r="G14"/>
      <c r="H14" s="41"/>
    </row>
    <row r="15" spans="1:10" x14ac:dyDescent="0.45">
      <c r="A15" s="9">
        <v>9809</v>
      </c>
      <c r="B15"/>
      <c r="C15" s="59">
        <f t="shared" si="0"/>
        <v>8.9361702127659566</v>
      </c>
      <c r="D15" s="3">
        <v>340</v>
      </c>
      <c r="E15" s="3">
        <v>312</v>
      </c>
      <c r="F15" s="3"/>
      <c r="G15"/>
      <c r="H15" s="41"/>
    </row>
    <row r="16" spans="1:10" x14ac:dyDescent="0.45">
      <c r="A16" s="9">
        <v>9810</v>
      </c>
      <c r="B16"/>
      <c r="C16" s="59">
        <f t="shared" si="0"/>
        <v>30.319148936170215</v>
      </c>
      <c r="D16" s="3">
        <v>380</v>
      </c>
      <c r="E16" s="3">
        <v>285</v>
      </c>
      <c r="F16" s="3"/>
      <c r="G16"/>
      <c r="H16" s="41"/>
    </row>
    <row r="17" spans="1:9" x14ac:dyDescent="0.45">
      <c r="A17" s="9">
        <v>9811</v>
      </c>
      <c r="B17"/>
      <c r="C17" s="59">
        <f t="shared" si="0"/>
        <v>11.170212765957446</v>
      </c>
      <c r="D17" s="3">
        <v>290</v>
      </c>
      <c r="E17" s="3">
        <v>255</v>
      </c>
      <c r="F17" s="3"/>
      <c r="G17"/>
      <c r="H17" s="41"/>
    </row>
    <row r="18" spans="1:9" x14ac:dyDescent="0.45">
      <c r="A18" s="9">
        <v>9812</v>
      </c>
      <c r="B18"/>
      <c r="C18" s="59">
        <f t="shared" si="0"/>
        <v>14.361702127659575</v>
      </c>
      <c r="D18" s="3">
        <v>300</v>
      </c>
      <c r="E18" s="3">
        <v>255</v>
      </c>
      <c r="F18" s="3"/>
      <c r="G18"/>
      <c r="H18" s="41"/>
    </row>
    <row r="19" spans="1:9" x14ac:dyDescent="0.45">
      <c r="A19" s="9">
        <v>9813</v>
      </c>
      <c r="B19"/>
      <c r="C19" s="59">
        <f t="shared" si="0"/>
        <v>19.148936170212767</v>
      </c>
      <c r="D19" s="3">
        <v>360</v>
      </c>
      <c r="E19" s="3">
        <v>300</v>
      </c>
      <c r="F19" s="33"/>
      <c r="G19"/>
      <c r="H19" s="41"/>
    </row>
    <row r="20" spans="1:9" x14ac:dyDescent="0.45">
      <c r="A20" s="9">
        <v>9814</v>
      </c>
      <c r="B20"/>
      <c r="C20" s="59">
        <f t="shared" si="0"/>
        <v>15</v>
      </c>
      <c r="D20" s="3">
        <v>300</v>
      </c>
      <c r="E20" s="3">
        <v>253</v>
      </c>
      <c r="F20" s="33"/>
      <c r="G20"/>
      <c r="H20" s="41"/>
    </row>
    <row r="21" spans="1:9" x14ac:dyDescent="0.45">
      <c r="A21" s="9">
        <v>9815</v>
      </c>
      <c r="B21"/>
      <c r="C21" s="59">
        <f t="shared" si="0"/>
        <v>13.404255319148936</v>
      </c>
      <c r="D21" s="3">
        <v>300</v>
      </c>
      <c r="E21" s="3">
        <v>258</v>
      </c>
      <c r="F21" s="33"/>
      <c r="G21"/>
      <c r="H21" s="41"/>
    </row>
    <row r="22" spans="1:9" x14ac:dyDescent="0.45">
      <c r="A22" s="9">
        <v>9816</v>
      </c>
      <c r="B22"/>
      <c r="C22" s="59">
        <f t="shared" si="0"/>
        <v>14.361702127659575</v>
      </c>
      <c r="D22" s="3">
        <v>280</v>
      </c>
      <c r="E22" s="3">
        <v>235</v>
      </c>
      <c r="F22" s="3"/>
      <c r="G22"/>
      <c r="H22" s="41"/>
    </row>
    <row r="23" spans="1:9" x14ac:dyDescent="0.45">
      <c r="A23" s="9">
        <v>9817</v>
      </c>
      <c r="B23"/>
      <c r="C23" s="59">
        <f t="shared" si="0"/>
        <v>2.8723404255319149</v>
      </c>
      <c r="D23" s="3">
        <v>320</v>
      </c>
      <c r="E23" s="3">
        <v>311</v>
      </c>
      <c r="F23" s="3"/>
      <c r="G23"/>
      <c r="H23" s="41"/>
    </row>
    <row r="24" spans="1:9" x14ac:dyDescent="0.45">
      <c r="A24" s="9">
        <v>9818</v>
      </c>
      <c r="B24"/>
      <c r="C24" s="59">
        <f t="shared" si="0"/>
        <v>6.3829787234042552</v>
      </c>
      <c r="D24" s="3">
        <v>260</v>
      </c>
      <c r="E24" s="3">
        <v>240</v>
      </c>
      <c r="F24" s="33"/>
      <c r="G24"/>
      <c r="H24" s="41"/>
    </row>
    <row r="25" spans="1:9" x14ac:dyDescent="0.45">
      <c r="A25" s="9">
        <v>9819</v>
      </c>
      <c r="B25"/>
      <c r="C25" s="59">
        <f t="shared" si="0"/>
        <v>15.957446808510639</v>
      </c>
      <c r="D25" s="3">
        <v>280</v>
      </c>
      <c r="E25" s="3">
        <v>230</v>
      </c>
      <c r="F25" s="3"/>
      <c r="G25"/>
      <c r="H25"/>
      <c r="I25"/>
    </row>
    <row r="26" spans="1:9" x14ac:dyDescent="0.45">
      <c r="A26" s="9">
        <v>9820</v>
      </c>
      <c r="B26" s="6"/>
      <c r="C26" s="59">
        <f t="shared" si="0"/>
        <v>6.7021276595744679</v>
      </c>
      <c r="D26" s="3">
        <v>310</v>
      </c>
      <c r="E26" s="9">
        <v>289</v>
      </c>
      <c r="F26" s="33"/>
      <c r="G26"/>
    </row>
    <row r="27" spans="1:9" x14ac:dyDescent="0.45">
      <c r="A27" s="9">
        <v>9821</v>
      </c>
      <c r="B27" s="3"/>
      <c r="C27" s="59">
        <f t="shared" si="0"/>
        <v>15.957446808510639</v>
      </c>
      <c r="D27" s="3">
        <v>350</v>
      </c>
      <c r="E27" s="3">
        <v>300</v>
      </c>
      <c r="F27" s="3"/>
      <c r="G27"/>
      <c r="H27" s="41"/>
    </row>
    <row r="28" spans="1:9" x14ac:dyDescent="0.45">
      <c r="A28" s="9">
        <v>9822</v>
      </c>
      <c r="B28" s="3"/>
      <c r="C28" s="59">
        <f t="shared" si="0"/>
        <v>13.085106382978724</v>
      </c>
      <c r="D28" s="3">
        <v>340</v>
      </c>
      <c r="E28" s="3">
        <v>299</v>
      </c>
      <c r="F28" s="33"/>
      <c r="G28"/>
      <c r="H28" s="41"/>
    </row>
    <row r="29" spans="1:9" x14ac:dyDescent="0.45">
      <c r="A29" s="9">
        <v>9823</v>
      </c>
      <c r="B29" s="3"/>
      <c r="C29" s="59">
        <f t="shared" si="0"/>
        <v>8.6170212765957448</v>
      </c>
      <c r="D29" s="3">
        <v>400</v>
      </c>
      <c r="E29" s="3">
        <v>373</v>
      </c>
      <c r="F29" s="3"/>
      <c r="G29"/>
      <c r="H29" s="41"/>
    </row>
    <row r="30" spans="1:9" x14ac:dyDescent="0.45">
      <c r="A30" s="9">
        <v>9824</v>
      </c>
      <c r="B30" s="3"/>
      <c r="C30" s="59">
        <f t="shared" si="0"/>
        <v>20.74468085106383</v>
      </c>
      <c r="D30" s="3">
        <v>390</v>
      </c>
      <c r="E30" s="3">
        <v>325</v>
      </c>
      <c r="F30" s="33"/>
      <c r="G30"/>
      <c r="H30" s="41"/>
    </row>
    <row r="31" spans="1:9" x14ac:dyDescent="0.45">
      <c r="A31" s="9">
        <v>9825</v>
      </c>
      <c r="B31" s="3"/>
      <c r="C31" s="59">
        <f t="shared" si="0"/>
        <v>4.7872340425531918</v>
      </c>
      <c r="D31" s="3">
        <v>300</v>
      </c>
      <c r="E31" s="3">
        <v>285</v>
      </c>
      <c r="F31" s="3"/>
      <c r="G31"/>
      <c r="H31" s="40"/>
    </row>
    <row r="32" spans="1:9" x14ac:dyDescent="0.45">
      <c r="A32" s="9">
        <v>9826</v>
      </c>
      <c r="B32" s="3"/>
      <c r="C32" s="59">
        <f t="shared" si="0"/>
        <v>15</v>
      </c>
      <c r="D32" s="3">
        <v>360</v>
      </c>
      <c r="E32" s="3">
        <v>313</v>
      </c>
      <c r="F32" s="3"/>
      <c r="G32"/>
      <c r="H32" s="40"/>
    </row>
    <row r="33" spans="1:8" x14ac:dyDescent="0.45">
      <c r="A33" s="9">
        <v>9827</v>
      </c>
      <c r="B33" s="3"/>
      <c r="C33" s="59">
        <f t="shared" si="0"/>
        <v>11.170212765957446</v>
      </c>
      <c r="D33" s="3">
        <v>280</v>
      </c>
      <c r="E33" s="3">
        <v>245</v>
      </c>
      <c r="F33" s="3"/>
      <c r="G33"/>
      <c r="H33" s="40"/>
    </row>
    <row r="34" spans="1:8" x14ac:dyDescent="0.45">
      <c r="A34" s="9">
        <v>9828</v>
      </c>
      <c r="B34" s="3"/>
      <c r="C34" s="59">
        <f t="shared" si="0"/>
        <v>11.170212765957446</v>
      </c>
      <c r="D34" s="3">
        <v>320</v>
      </c>
      <c r="E34" s="3">
        <v>285</v>
      </c>
      <c r="F34" s="33"/>
      <c r="G34"/>
      <c r="H34" s="40"/>
    </row>
    <row r="35" spans="1:8" x14ac:dyDescent="0.45">
      <c r="A35" s="9">
        <v>9829</v>
      </c>
      <c r="B35" s="3"/>
      <c r="C35" s="59">
        <f t="shared" si="0"/>
        <v>7.9787234042553195</v>
      </c>
      <c r="D35" s="9">
        <v>270</v>
      </c>
      <c r="E35" s="3">
        <v>245</v>
      </c>
      <c r="F35" s="40"/>
      <c r="G35"/>
      <c r="H35" s="40"/>
    </row>
    <row r="36" spans="1:8" x14ac:dyDescent="0.45">
      <c r="A36" s="9">
        <v>9830</v>
      </c>
      <c r="B36" s="3"/>
      <c r="C36" s="59">
        <f t="shared" si="0"/>
        <v>7.6595744680851059</v>
      </c>
      <c r="D36" s="9">
        <v>310</v>
      </c>
      <c r="E36" s="3">
        <v>286</v>
      </c>
      <c r="F36" s="31"/>
      <c r="G36" s="31"/>
    </row>
    <row r="37" spans="1:8" x14ac:dyDescent="0.45">
      <c r="A37" s="9">
        <v>9831</v>
      </c>
      <c r="B37" s="3"/>
      <c r="C37" s="59">
        <f t="shared" si="0"/>
        <v>1.2765957446808511</v>
      </c>
      <c r="D37" s="9">
        <v>300</v>
      </c>
      <c r="E37" s="3">
        <v>296</v>
      </c>
      <c r="F37" s="31"/>
      <c r="G37" s="31"/>
    </row>
    <row r="38" spans="1:8" x14ac:dyDescent="0.45">
      <c r="A38" s="9">
        <v>9832</v>
      </c>
      <c r="B38" s="3"/>
      <c r="C38" s="59">
        <f t="shared" si="0"/>
        <v>5.1063829787234045</v>
      </c>
      <c r="D38" s="9">
        <v>330</v>
      </c>
      <c r="E38" s="3">
        <v>314</v>
      </c>
      <c r="F38" s="31"/>
      <c r="G38" s="31"/>
    </row>
    <row r="39" spans="1:8" x14ac:dyDescent="0.45">
      <c r="A39" s="9">
        <v>9833</v>
      </c>
      <c r="B39" s="31"/>
      <c r="C39" s="59">
        <f t="shared" si="0"/>
        <v>12.76595744680851</v>
      </c>
      <c r="D39" s="31">
        <v>280</v>
      </c>
      <c r="E39" s="31">
        <v>240</v>
      </c>
      <c r="F39" s="31"/>
      <c r="G39" s="31"/>
    </row>
    <row r="40" spans="1:8" x14ac:dyDescent="0.45">
      <c r="A40" s="9">
        <v>9834</v>
      </c>
      <c r="B40" s="31"/>
      <c r="C40" s="59">
        <f t="shared" si="0"/>
        <v>12.76595744680851</v>
      </c>
      <c r="D40" s="31">
        <v>310</v>
      </c>
      <c r="E40" s="31">
        <v>270</v>
      </c>
      <c r="F40" s="31"/>
      <c r="G40" s="31"/>
    </row>
    <row r="41" spans="1:8" x14ac:dyDescent="0.45">
      <c r="A41" s="9">
        <v>9835</v>
      </c>
      <c r="B41" s="31"/>
      <c r="C41" s="59">
        <f t="shared" si="0"/>
        <v>11.808510638297873</v>
      </c>
      <c r="D41" s="31">
        <v>290</v>
      </c>
      <c r="E41" s="31">
        <v>253</v>
      </c>
      <c r="F41" s="31"/>
      <c r="G41" s="31"/>
    </row>
    <row r="42" spans="1:8" x14ac:dyDescent="0.45">
      <c r="A42" s="9">
        <v>9836</v>
      </c>
      <c r="B42" s="31"/>
      <c r="C42" s="59">
        <f t="shared" si="0"/>
        <v>15</v>
      </c>
      <c r="D42" s="31">
        <v>370</v>
      </c>
      <c r="E42" s="31">
        <v>323</v>
      </c>
      <c r="F42" s="31"/>
      <c r="G42" s="31"/>
    </row>
    <row r="43" spans="1:8" x14ac:dyDescent="0.45">
      <c r="A43" s="9">
        <v>9837</v>
      </c>
      <c r="C43" s="59">
        <f t="shared" si="0"/>
        <v>8.6170212765957448</v>
      </c>
      <c r="D43" s="9">
        <v>250</v>
      </c>
      <c r="E43" s="9">
        <v>223</v>
      </c>
    </row>
    <row r="44" spans="1:8" x14ac:dyDescent="0.45">
      <c r="A44" s="9">
        <v>9838</v>
      </c>
      <c r="C44" s="59">
        <f t="shared" si="0"/>
        <v>8.6170212765957448</v>
      </c>
      <c r="D44" s="9">
        <v>320</v>
      </c>
      <c r="E44" s="9">
        <v>293</v>
      </c>
    </row>
    <row r="45" spans="1:8" x14ac:dyDescent="0.45">
      <c r="A45" s="9">
        <v>9839</v>
      </c>
      <c r="C45" s="59">
        <f t="shared" si="0"/>
        <v>15.957446808510639</v>
      </c>
      <c r="D45" s="9">
        <v>350</v>
      </c>
      <c r="E45" s="9">
        <v>300</v>
      </c>
    </row>
    <row r="46" spans="1:8" x14ac:dyDescent="0.45">
      <c r="A46" s="9">
        <v>9840</v>
      </c>
      <c r="C46" s="59">
        <f t="shared" si="0"/>
        <v>8.9361702127659566</v>
      </c>
      <c r="D46" s="9">
        <v>280</v>
      </c>
      <c r="E46" s="9">
        <v>252</v>
      </c>
    </row>
    <row r="47" spans="1:8" x14ac:dyDescent="0.45">
      <c r="A47" s="9">
        <v>9841</v>
      </c>
      <c r="C47" s="59">
        <f t="shared" si="0"/>
        <v>9.2553191489361701</v>
      </c>
      <c r="D47" s="9">
        <v>370</v>
      </c>
      <c r="E47" s="9">
        <v>341</v>
      </c>
    </row>
    <row r="48" spans="1:8" x14ac:dyDescent="0.45">
      <c r="A48" s="9">
        <v>9842</v>
      </c>
      <c r="C48" s="59">
        <f t="shared" si="0"/>
        <v>16.595744680851066</v>
      </c>
      <c r="D48" s="9">
        <v>340</v>
      </c>
      <c r="E48" s="9">
        <v>288</v>
      </c>
    </row>
    <row r="49" spans="1:5" x14ac:dyDescent="0.45">
      <c r="A49" s="9">
        <v>9843</v>
      </c>
      <c r="C49" s="59">
        <f t="shared" si="0"/>
        <v>1.5957446808510638</v>
      </c>
      <c r="D49" s="9">
        <v>360</v>
      </c>
      <c r="E49" s="9">
        <v>355</v>
      </c>
    </row>
    <row r="50" spans="1:5" x14ac:dyDescent="0.45">
      <c r="A50" s="9">
        <v>9844</v>
      </c>
      <c r="C50" s="59">
        <f t="shared" si="0"/>
        <v>12.76595744680851</v>
      </c>
      <c r="D50" s="9">
        <v>340</v>
      </c>
      <c r="E50" s="9">
        <v>300</v>
      </c>
    </row>
  </sheetData>
  <mergeCells count="2">
    <mergeCell ref="A1:B1"/>
    <mergeCell ref="A2:B2"/>
  </mergeCells>
  <conditionalFormatting sqref="C7:C50">
    <cfRule type="cellIs" dxfId="9" priority="1" operator="greaterThan">
      <formula>13</formula>
    </cfRule>
    <cfRule type="cellIs" dxfId="8" priority="2" operator="lessThan">
      <formula>12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1:K43"/>
  <sheetViews>
    <sheetView workbookViewId="0">
      <pane ySplit="5" topLeftCell="A6" activePane="bottomLeft" state="frozen"/>
      <selection pane="bottomLeft" activeCell="D8" sqref="D8"/>
    </sheetView>
  </sheetViews>
  <sheetFormatPr defaultColWidth="10.81640625" defaultRowHeight="16.5" x14ac:dyDescent="0.45"/>
  <cols>
    <col min="1" max="1" width="11.7265625" style="9" bestFit="1" customWidth="1"/>
    <col min="2" max="2" width="11" style="9" customWidth="1"/>
    <col min="3" max="3" width="15.26953125" style="6" bestFit="1" customWidth="1"/>
    <col min="4" max="4" width="10.453125" style="9" bestFit="1" customWidth="1"/>
    <col min="5" max="5" width="10.453125" style="6" bestFit="1" customWidth="1"/>
    <col min="6" max="8" width="10.453125" style="9" bestFit="1" customWidth="1"/>
    <col min="9" max="9" width="10.81640625" style="9"/>
    <col min="10" max="10" width="11.1796875" style="6" bestFit="1" customWidth="1"/>
    <col min="11" max="16384" width="10.81640625" style="6"/>
  </cols>
  <sheetData>
    <row r="1" spans="1:11" s="16" customFormat="1" ht="17.5" x14ac:dyDescent="0.35">
      <c r="A1" s="129" t="s">
        <v>532</v>
      </c>
      <c r="B1" s="129"/>
      <c r="C1" s="13" t="s">
        <v>114</v>
      </c>
      <c r="D1" s="14">
        <f>COUNT(D7:D38)</f>
        <v>30</v>
      </c>
      <c r="E1" s="14">
        <f>COUNT(E8:E38)</f>
        <v>26</v>
      </c>
      <c r="F1" s="14">
        <f>COUNT(F8:F29)</f>
        <v>19</v>
      </c>
      <c r="G1" s="14"/>
      <c r="H1" s="14">
        <f>COUNT(H8:H29)</f>
        <v>0</v>
      </c>
      <c r="I1" s="60"/>
    </row>
    <row r="2" spans="1:11" s="16" customFormat="1" ht="11.5" customHeight="1" x14ac:dyDescent="0.35">
      <c r="A2" s="130" t="s">
        <v>525</v>
      </c>
      <c r="B2" s="130"/>
      <c r="C2" s="13" t="s">
        <v>109</v>
      </c>
      <c r="D2" s="14">
        <f>SUM(D7:D38)</f>
        <v>10670</v>
      </c>
      <c r="E2" s="14">
        <f>SUM(E7:E38)</f>
        <v>7700</v>
      </c>
      <c r="F2" s="14">
        <f>SUM(F8:F38)</f>
        <v>5470</v>
      </c>
      <c r="G2" s="14"/>
      <c r="H2" s="14">
        <f>SUM(H8:H40)</f>
        <v>0</v>
      </c>
      <c r="I2" s="61"/>
    </row>
    <row r="3" spans="1:11" s="16" customFormat="1" ht="11.5" customHeight="1" x14ac:dyDescent="0.35">
      <c r="A3" s="17"/>
      <c r="B3" s="17"/>
      <c r="C3" s="13" t="s">
        <v>108</v>
      </c>
      <c r="D3" s="17">
        <f>+D2/D1</f>
        <v>355.66666666666669</v>
      </c>
      <c r="E3" s="14">
        <f>E2/COUNT(E8:E38)</f>
        <v>296.15384615384613</v>
      </c>
      <c r="F3" s="14">
        <f>F2/COUNT(F8:F38)</f>
        <v>227.91666666666666</v>
      </c>
      <c r="G3" s="14"/>
      <c r="H3" s="14" t="e">
        <f>H2/COUNT(H8:H40)</f>
        <v>#DIV/0!</v>
      </c>
      <c r="I3" s="61"/>
    </row>
    <row r="4" spans="1:11" s="16" customFormat="1" ht="11.5" customHeight="1" x14ac:dyDescent="0.35">
      <c r="A4" s="17"/>
      <c r="B4" s="17"/>
      <c r="C4" s="13" t="s">
        <v>110</v>
      </c>
      <c r="D4" s="118">
        <v>0.42</v>
      </c>
      <c r="E4" s="18"/>
      <c r="F4" s="14"/>
      <c r="G4" s="18"/>
      <c r="H4" s="18" t="e">
        <f>((H2-F2)/(H6-F6))/H1</f>
        <v>#DIV/0!</v>
      </c>
      <c r="I4" s="61"/>
    </row>
    <row r="5" spans="1:11" s="16" customFormat="1" ht="11.5" customHeight="1" x14ac:dyDescent="0.35">
      <c r="A5" s="20"/>
      <c r="B5" s="20"/>
      <c r="C5" s="21" t="s">
        <v>112</v>
      </c>
      <c r="D5" s="124">
        <v>12.6</v>
      </c>
      <c r="E5" s="23"/>
      <c r="F5" s="22"/>
      <c r="G5" s="23"/>
      <c r="H5" s="30" t="e">
        <f>H4*30</f>
        <v>#DIV/0!</v>
      </c>
      <c r="I5" s="61"/>
    </row>
    <row r="6" spans="1:11" x14ac:dyDescent="0.45">
      <c r="A6" s="36" t="s">
        <v>182</v>
      </c>
      <c r="B6" s="36" t="s">
        <v>39</v>
      </c>
      <c r="C6" s="7" t="s">
        <v>0</v>
      </c>
      <c r="D6" s="28">
        <v>43784</v>
      </c>
      <c r="E6" s="28">
        <v>43637</v>
      </c>
      <c r="F6" s="28">
        <v>43384</v>
      </c>
      <c r="G6" s="28"/>
      <c r="H6" s="28"/>
      <c r="I6" s="1" t="s">
        <v>527</v>
      </c>
      <c r="K6"/>
    </row>
    <row r="7" spans="1:11" x14ac:dyDescent="0.45">
      <c r="A7" s="9">
        <v>8508</v>
      </c>
      <c r="D7" s="9">
        <v>350</v>
      </c>
      <c r="E7" s="9"/>
      <c r="H7" s="28"/>
      <c r="I7" s="3"/>
      <c r="K7"/>
    </row>
    <row r="8" spans="1:11" x14ac:dyDescent="0.45">
      <c r="A8" s="9">
        <v>8562</v>
      </c>
      <c r="C8" s="6" t="s">
        <v>102</v>
      </c>
      <c r="D8" s="9">
        <v>350</v>
      </c>
      <c r="E8" s="9">
        <v>280</v>
      </c>
      <c r="F8" s="9">
        <v>200</v>
      </c>
      <c r="G8" s="6"/>
      <c r="I8" s="27">
        <f t="shared" ref="I8:I15" si="0">+((D8-E8)/($D$6-$E$6))*30</f>
        <v>14.285714285714285</v>
      </c>
      <c r="J8" s="48"/>
      <c r="K8"/>
    </row>
    <row r="9" spans="1:11" x14ac:dyDescent="0.45">
      <c r="A9" s="9">
        <v>8563</v>
      </c>
      <c r="C9" s="6" t="s">
        <v>225</v>
      </c>
      <c r="D9" s="9">
        <v>300</v>
      </c>
      <c r="E9" s="9">
        <v>250</v>
      </c>
      <c r="F9" s="9">
        <v>190</v>
      </c>
      <c r="G9" s="6"/>
      <c r="I9" s="27">
        <f t="shared" si="0"/>
        <v>10.204081632653061</v>
      </c>
      <c r="J9" s="48"/>
      <c r="K9"/>
    </row>
    <row r="10" spans="1:11" x14ac:dyDescent="0.45">
      <c r="A10" s="9">
        <v>8564</v>
      </c>
      <c r="C10" s="6" t="s">
        <v>252</v>
      </c>
      <c r="D10" s="9">
        <v>390</v>
      </c>
      <c r="E10" s="9">
        <v>300</v>
      </c>
      <c r="F10" s="9">
        <v>210</v>
      </c>
      <c r="G10" s="6"/>
      <c r="I10" s="27">
        <f t="shared" si="0"/>
        <v>18.367346938775512</v>
      </c>
      <c r="J10" s="48"/>
      <c r="K10"/>
    </row>
    <row r="11" spans="1:11" x14ac:dyDescent="0.45">
      <c r="A11" s="9">
        <v>8565</v>
      </c>
      <c r="C11" s="6" t="s">
        <v>102</v>
      </c>
      <c r="D11" s="9">
        <v>360</v>
      </c>
      <c r="E11" s="9">
        <v>290</v>
      </c>
      <c r="F11" s="9">
        <v>180</v>
      </c>
      <c r="G11" s="6"/>
      <c r="I11" s="27">
        <f t="shared" si="0"/>
        <v>14.285714285714285</v>
      </c>
      <c r="J11" s="48"/>
      <c r="K11" s="48"/>
    </row>
    <row r="12" spans="1:11" x14ac:dyDescent="0.45">
      <c r="A12" s="9">
        <v>8567</v>
      </c>
      <c r="C12" s="6" t="s">
        <v>146</v>
      </c>
      <c r="D12" s="9">
        <v>360</v>
      </c>
      <c r="E12" s="9">
        <v>300</v>
      </c>
      <c r="F12" s="9">
        <v>210</v>
      </c>
      <c r="G12" s="6"/>
      <c r="I12" s="27">
        <f t="shared" si="0"/>
        <v>12.244897959183675</v>
      </c>
      <c r="J12" s="48"/>
      <c r="K12" s="48"/>
    </row>
    <row r="13" spans="1:11" x14ac:dyDescent="0.45">
      <c r="A13" s="9">
        <v>8573</v>
      </c>
      <c r="C13" s="6" t="s">
        <v>16</v>
      </c>
      <c r="D13" s="9">
        <v>420</v>
      </c>
      <c r="E13" s="9">
        <v>350</v>
      </c>
      <c r="F13" s="9">
        <v>230</v>
      </c>
      <c r="G13" s="6"/>
      <c r="I13" s="27">
        <f t="shared" si="0"/>
        <v>14.285714285714285</v>
      </c>
      <c r="J13" s="48"/>
      <c r="K13" s="48"/>
    </row>
    <row r="14" spans="1:11" x14ac:dyDescent="0.45">
      <c r="A14" s="9">
        <v>8577</v>
      </c>
      <c r="C14" s="6" t="s">
        <v>102</v>
      </c>
      <c r="D14" s="9">
        <v>320</v>
      </c>
      <c r="E14" s="9">
        <v>260</v>
      </c>
      <c r="G14" s="6"/>
      <c r="I14" s="27">
        <f t="shared" si="0"/>
        <v>12.244897959183675</v>
      </c>
      <c r="J14" s="48"/>
      <c r="K14" s="49"/>
    </row>
    <row r="15" spans="1:11" x14ac:dyDescent="0.45">
      <c r="A15" s="9">
        <v>8578</v>
      </c>
      <c r="C15" s="6" t="s">
        <v>9</v>
      </c>
      <c r="D15" s="9">
        <v>380</v>
      </c>
      <c r="E15" s="9">
        <v>310</v>
      </c>
      <c r="F15" s="9">
        <v>230</v>
      </c>
      <c r="G15" s="6"/>
      <c r="I15" s="27">
        <f t="shared" si="0"/>
        <v>14.285714285714285</v>
      </c>
      <c r="J15" s="49"/>
      <c r="K15" s="49"/>
    </row>
    <row r="16" spans="1:11" x14ac:dyDescent="0.45">
      <c r="A16" s="9">
        <v>8580</v>
      </c>
      <c r="D16" s="9">
        <v>320</v>
      </c>
      <c r="E16" s="9"/>
      <c r="G16" s="6"/>
      <c r="J16" s="49"/>
      <c r="K16" s="49"/>
    </row>
    <row r="17" spans="1:11" x14ac:dyDescent="0.45">
      <c r="A17" s="9">
        <v>8583</v>
      </c>
      <c r="C17" s="6" t="s">
        <v>254</v>
      </c>
      <c r="D17" s="9">
        <v>390</v>
      </c>
      <c r="E17" s="9">
        <v>310</v>
      </c>
      <c r="F17" s="9">
        <v>230</v>
      </c>
      <c r="G17" s="6"/>
      <c r="I17" s="27">
        <f>+((D17-E17)/($D$6-$E$6))*30</f>
        <v>16.326530612244898</v>
      </c>
      <c r="J17" s="49"/>
      <c r="K17" s="49"/>
    </row>
    <row r="18" spans="1:11" x14ac:dyDescent="0.45">
      <c r="A18" s="9">
        <v>8584</v>
      </c>
      <c r="C18" s="6" t="s">
        <v>16</v>
      </c>
      <c r="D18" s="9">
        <v>400</v>
      </c>
      <c r="E18" s="9">
        <v>350</v>
      </c>
      <c r="G18" s="6"/>
      <c r="J18" s="49"/>
      <c r="K18" s="49"/>
    </row>
    <row r="19" spans="1:11" x14ac:dyDescent="0.45">
      <c r="A19" s="9">
        <v>8589</v>
      </c>
      <c r="C19" s="6" t="s">
        <v>253</v>
      </c>
      <c r="D19" s="9">
        <v>310</v>
      </c>
      <c r="E19" s="9">
        <v>250</v>
      </c>
      <c r="F19" s="9">
        <v>270</v>
      </c>
      <c r="G19" s="6"/>
      <c r="I19" s="27">
        <f t="shared" ref="I19:I30" si="1">+((D19-E19)/($D$6-$E$6))*30</f>
        <v>12.244897959183675</v>
      </c>
      <c r="J19" s="49"/>
      <c r="K19" s="49"/>
    </row>
    <row r="20" spans="1:11" x14ac:dyDescent="0.45">
      <c r="A20" s="9">
        <v>8592</v>
      </c>
      <c r="C20" s="6" t="s">
        <v>9</v>
      </c>
      <c r="D20" s="9">
        <v>360</v>
      </c>
      <c r="E20" s="9">
        <v>310</v>
      </c>
      <c r="F20" s="9">
        <v>220</v>
      </c>
      <c r="G20" s="6"/>
      <c r="I20" s="27">
        <f t="shared" si="1"/>
        <v>10.204081632653061</v>
      </c>
      <c r="J20" s="49"/>
      <c r="K20" s="49"/>
    </row>
    <row r="21" spans="1:11" x14ac:dyDescent="0.45">
      <c r="A21" s="9">
        <v>8594</v>
      </c>
      <c r="C21" s="6" t="s">
        <v>255</v>
      </c>
      <c r="D21" s="9">
        <v>330</v>
      </c>
      <c r="E21" s="9">
        <v>260</v>
      </c>
      <c r="F21" s="9">
        <v>190</v>
      </c>
      <c r="G21" s="6"/>
      <c r="I21" s="27">
        <f t="shared" si="1"/>
        <v>14.285714285714285</v>
      </c>
      <c r="J21" s="49"/>
      <c r="K21" s="49"/>
    </row>
    <row r="22" spans="1:11" x14ac:dyDescent="0.45">
      <c r="A22" s="9">
        <v>8595</v>
      </c>
      <c r="C22" s="6" t="s">
        <v>256</v>
      </c>
      <c r="D22" s="9">
        <v>320</v>
      </c>
      <c r="E22" s="9">
        <v>260</v>
      </c>
      <c r="F22" s="9">
        <v>190</v>
      </c>
      <c r="G22" s="6"/>
      <c r="I22" s="27">
        <f t="shared" si="1"/>
        <v>12.244897959183675</v>
      </c>
      <c r="J22" s="49"/>
      <c r="K22" s="49"/>
    </row>
    <row r="23" spans="1:11" x14ac:dyDescent="0.45">
      <c r="A23" s="9">
        <v>8596</v>
      </c>
      <c r="C23" s="6" t="s">
        <v>131</v>
      </c>
      <c r="D23" s="9">
        <v>350</v>
      </c>
      <c r="E23" s="9">
        <v>300</v>
      </c>
      <c r="F23" s="9">
        <v>220</v>
      </c>
      <c r="G23" s="6"/>
      <c r="I23" s="27">
        <f t="shared" si="1"/>
        <v>10.204081632653061</v>
      </c>
      <c r="J23" s="49"/>
      <c r="K23" s="49"/>
    </row>
    <row r="24" spans="1:11" x14ac:dyDescent="0.45">
      <c r="A24" s="9">
        <v>85101</v>
      </c>
      <c r="C24" s="6" t="s">
        <v>102</v>
      </c>
      <c r="D24" s="9">
        <v>350</v>
      </c>
      <c r="E24" s="9">
        <v>280</v>
      </c>
      <c r="F24" s="9">
        <v>200</v>
      </c>
      <c r="G24" s="6"/>
      <c r="I24" s="27">
        <f t="shared" si="1"/>
        <v>14.285714285714285</v>
      </c>
      <c r="J24" s="62"/>
    </row>
    <row r="25" spans="1:11" x14ac:dyDescent="0.45">
      <c r="A25" s="9">
        <v>85103</v>
      </c>
      <c r="C25" s="6" t="s">
        <v>16</v>
      </c>
      <c r="D25" s="9">
        <v>370</v>
      </c>
      <c r="E25" s="9">
        <v>310</v>
      </c>
      <c r="F25" s="9">
        <v>250</v>
      </c>
      <c r="G25" s="6"/>
      <c r="I25" s="27">
        <f t="shared" si="1"/>
        <v>12.244897959183675</v>
      </c>
    </row>
    <row r="26" spans="1:11" x14ac:dyDescent="0.45">
      <c r="A26" s="9">
        <v>85104</v>
      </c>
      <c r="C26" s="6" t="s">
        <v>257</v>
      </c>
      <c r="D26" s="9">
        <v>360</v>
      </c>
      <c r="E26" s="9">
        <v>300</v>
      </c>
      <c r="F26" s="9">
        <v>220</v>
      </c>
      <c r="G26" s="6"/>
      <c r="I26" s="27">
        <f t="shared" si="1"/>
        <v>12.244897959183675</v>
      </c>
    </row>
    <row r="27" spans="1:11" x14ac:dyDescent="0.45">
      <c r="A27" s="9">
        <v>85104</v>
      </c>
      <c r="C27" s="6" t="s">
        <v>15</v>
      </c>
      <c r="D27" s="9">
        <v>370</v>
      </c>
      <c r="E27" s="9">
        <v>310</v>
      </c>
      <c r="F27" s="9">
        <v>230</v>
      </c>
      <c r="G27" s="6"/>
      <c r="I27" s="27">
        <f t="shared" si="1"/>
        <v>12.244897959183675</v>
      </c>
    </row>
    <row r="28" spans="1:11" x14ac:dyDescent="0.45">
      <c r="A28" s="9">
        <v>85106</v>
      </c>
      <c r="C28" s="6" t="s">
        <v>25</v>
      </c>
      <c r="D28" s="9">
        <v>350</v>
      </c>
      <c r="E28" s="9">
        <v>290</v>
      </c>
      <c r="F28" s="9">
        <v>230</v>
      </c>
      <c r="G28" s="6"/>
      <c r="I28" s="27">
        <f t="shared" si="1"/>
        <v>12.244897959183675</v>
      </c>
    </row>
    <row r="29" spans="1:11" x14ac:dyDescent="0.45">
      <c r="A29" s="9">
        <v>85107</v>
      </c>
      <c r="C29" s="6" t="s">
        <v>15</v>
      </c>
      <c r="D29" s="9">
        <v>310</v>
      </c>
      <c r="E29" s="9">
        <v>260</v>
      </c>
      <c r="F29" s="9">
        <v>180</v>
      </c>
      <c r="G29" s="6"/>
      <c r="H29" s="31"/>
      <c r="I29" s="27">
        <f t="shared" si="1"/>
        <v>10.204081632653061</v>
      </c>
    </row>
    <row r="30" spans="1:11" x14ac:dyDescent="0.45">
      <c r="A30" s="9">
        <v>81203</v>
      </c>
      <c r="C30" s="6" t="s">
        <v>225</v>
      </c>
      <c r="D30" s="9">
        <v>360</v>
      </c>
      <c r="E30" s="9">
        <v>320</v>
      </c>
      <c r="F30" s="9">
        <v>270</v>
      </c>
      <c r="G30" s="6"/>
      <c r="H30" s="31"/>
      <c r="I30" s="27">
        <f t="shared" si="1"/>
        <v>8.1632653061224492</v>
      </c>
    </row>
    <row r="31" spans="1:11" x14ac:dyDescent="0.45">
      <c r="A31" s="9">
        <v>81208</v>
      </c>
      <c r="D31" s="9">
        <v>390</v>
      </c>
      <c r="E31" s="9"/>
      <c r="G31" s="6"/>
      <c r="H31" s="31"/>
      <c r="I31" s="31"/>
    </row>
    <row r="32" spans="1:11" x14ac:dyDescent="0.45">
      <c r="A32" s="9">
        <v>81209</v>
      </c>
      <c r="C32" s="6" t="s">
        <v>260</v>
      </c>
      <c r="D32" s="9">
        <v>410</v>
      </c>
      <c r="E32" s="9">
        <v>370</v>
      </c>
      <c r="F32" s="9">
        <v>320</v>
      </c>
      <c r="G32" s="6"/>
      <c r="H32" s="31"/>
      <c r="I32" s="27">
        <f>+((D32-E32)/($D$6-$E$6))*30</f>
        <v>8.1632653061224492</v>
      </c>
    </row>
    <row r="33" spans="1:11" x14ac:dyDescent="0.45">
      <c r="A33" s="9">
        <v>81210</v>
      </c>
      <c r="C33" s="6" t="s">
        <v>105</v>
      </c>
      <c r="D33" s="9">
        <v>350</v>
      </c>
      <c r="E33" s="9">
        <v>270</v>
      </c>
      <c r="F33" s="9">
        <v>250</v>
      </c>
      <c r="G33" s="6"/>
      <c r="H33" s="31"/>
      <c r="I33" s="27">
        <f>+((D33-E33)/($D$6-$E$6))*30</f>
        <v>16.326530612244898</v>
      </c>
    </row>
    <row r="34" spans="1:11" x14ac:dyDescent="0.45">
      <c r="A34" s="9">
        <v>81211</v>
      </c>
      <c r="C34" s="6" t="s">
        <v>16</v>
      </c>
      <c r="D34" s="9">
        <v>340</v>
      </c>
      <c r="E34" s="9">
        <v>300</v>
      </c>
      <c r="F34" s="9">
        <v>270</v>
      </c>
      <c r="G34" s="6"/>
      <c r="H34" s="31"/>
      <c r="I34" s="27">
        <f>+((D34-E34)/($D$6-$E$6))*30</f>
        <v>8.1632653061224492</v>
      </c>
    </row>
    <row r="35" spans="1:11" x14ac:dyDescent="0.45">
      <c r="A35" s="9">
        <v>81212</v>
      </c>
      <c r="C35" s="6" t="s">
        <v>259</v>
      </c>
      <c r="D35" s="9">
        <v>380</v>
      </c>
      <c r="E35" s="9">
        <v>310</v>
      </c>
      <c r="F35" s="9">
        <v>280</v>
      </c>
      <c r="G35" s="6"/>
      <c r="H35" s="31"/>
      <c r="I35" s="27">
        <f>+((D35-E35)/($D$6-$E$6))*30</f>
        <v>14.285714285714285</v>
      </c>
    </row>
    <row r="36" spans="1:11" x14ac:dyDescent="0.45">
      <c r="A36" s="9" t="s">
        <v>526</v>
      </c>
      <c r="D36" s="9">
        <v>320</v>
      </c>
      <c r="E36" s="9"/>
      <c r="G36" s="31"/>
      <c r="H36" s="31"/>
    </row>
    <row r="37" spans="1:11" x14ac:dyDescent="0.45">
      <c r="E37" s="9"/>
      <c r="G37" s="31"/>
      <c r="H37" s="31"/>
    </row>
    <row r="38" spans="1:11" x14ac:dyDescent="0.45">
      <c r="E38" s="9"/>
      <c r="G38" s="31"/>
      <c r="H38" s="31"/>
    </row>
    <row r="39" spans="1:11" x14ac:dyDescent="0.45">
      <c r="A39" s="6"/>
      <c r="B39" s="6"/>
      <c r="D39" s="6"/>
      <c r="F39" s="6"/>
      <c r="G39" s="31"/>
      <c r="H39" s="31"/>
    </row>
    <row r="40" spans="1:11" x14ac:dyDescent="0.45">
      <c r="A40" s="6"/>
      <c r="B40" s="6"/>
      <c r="D40" s="6"/>
      <c r="F40" s="6"/>
      <c r="I40" s="59"/>
      <c r="J40" s="49"/>
      <c r="K40" s="49"/>
    </row>
    <row r="41" spans="1:11" x14ac:dyDescent="0.45">
      <c r="A41" s="6"/>
      <c r="B41" s="6"/>
      <c r="D41" s="6"/>
      <c r="F41" s="6"/>
      <c r="G41" s="31"/>
      <c r="H41" s="31"/>
    </row>
    <row r="42" spans="1:11" x14ac:dyDescent="0.45">
      <c r="A42" s="6"/>
      <c r="B42" s="6"/>
      <c r="D42" s="6"/>
      <c r="F42" s="6"/>
    </row>
    <row r="43" spans="1:11" x14ac:dyDescent="0.45">
      <c r="A43" s="6"/>
      <c r="B43" s="6"/>
      <c r="D43" s="6"/>
    </row>
  </sheetData>
  <sortState xmlns:xlrd2="http://schemas.microsoft.com/office/spreadsheetml/2017/richdata2" ref="A7:F29">
    <sortCondition ref="A8:A29"/>
  </sortState>
  <mergeCells count="2">
    <mergeCell ref="A1:B1"/>
    <mergeCell ref="A2:B2"/>
  </mergeCells>
  <conditionalFormatting sqref="I8:I35">
    <cfRule type="cellIs" dxfId="7" priority="1" operator="greaterThan">
      <formula>13</formula>
    </cfRule>
    <cfRule type="cellIs" dxfId="6" priority="2" operator="lessThan">
      <formula>12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4"/>
  <dimension ref="A1:J47"/>
  <sheetViews>
    <sheetView workbookViewId="0">
      <pane ySplit="5" topLeftCell="A16" activePane="bottomLeft" state="frozen"/>
      <selection pane="bottomLeft" activeCell="D4" sqref="D4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9" customWidth="1"/>
    <col min="5" max="5" width="13" style="9" customWidth="1"/>
    <col min="6" max="7" width="10.453125" style="9" bestFit="1" customWidth="1"/>
    <col min="8" max="8" width="10.81640625" style="9"/>
    <col min="9" max="16384" width="10.81640625" style="6"/>
  </cols>
  <sheetData>
    <row r="1" spans="1:10" s="16" customFormat="1" ht="17.5" x14ac:dyDescent="0.35">
      <c r="A1" s="129" t="s">
        <v>524</v>
      </c>
      <c r="B1" s="129"/>
      <c r="C1" s="13" t="s">
        <v>114</v>
      </c>
      <c r="D1" s="14">
        <f>COUNT(D7:D53)</f>
        <v>41</v>
      </c>
      <c r="E1" s="14">
        <f>COUNT(E7:E32)</f>
        <v>26</v>
      </c>
      <c r="F1" s="14">
        <f>COUNT(F7:F32)</f>
        <v>0</v>
      </c>
      <c r="G1" s="14">
        <f>COUNT(G7:G32)</f>
        <v>0</v>
      </c>
      <c r="H1" s="60"/>
    </row>
    <row r="2" spans="1:10" s="16" customFormat="1" ht="11.5" customHeight="1" x14ac:dyDescent="0.35">
      <c r="A2" s="130" t="s">
        <v>523</v>
      </c>
      <c r="B2" s="130"/>
      <c r="C2" s="13" t="s">
        <v>109</v>
      </c>
      <c r="D2" s="14">
        <f>SUM(D7:D60)</f>
        <v>12685</v>
      </c>
      <c r="E2" s="14">
        <f>SUM(E7:E35)</f>
        <v>7562</v>
      </c>
      <c r="F2" s="14">
        <f>SUM(F7:F35)</f>
        <v>0</v>
      </c>
      <c r="G2" s="14">
        <f>SUM(G7:G35)</f>
        <v>0</v>
      </c>
      <c r="H2" s="61"/>
    </row>
    <row r="3" spans="1:10" s="16" customFormat="1" ht="11.5" customHeight="1" x14ac:dyDescent="0.35">
      <c r="A3" s="17"/>
      <c r="B3" s="17"/>
      <c r="C3" s="13" t="s">
        <v>108</v>
      </c>
      <c r="D3" s="17">
        <f>D2/D1</f>
        <v>309.39024390243901</v>
      </c>
      <c r="E3" s="14">
        <f>E2/COUNT(E7:E35)</f>
        <v>260.75862068965517</v>
      </c>
      <c r="F3" s="14" t="e">
        <f>F2/COUNT(F7:F35)</f>
        <v>#DIV/0!</v>
      </c>
      <c r="G3" s="14" t="e">
        <f>G2/COUNT(G7:G35)</f>
        <v>#DIV/0!</v>
      </c>
      <c r="H3" s="61"/>
    </row>
    <row r="4" spans="1:10" s="16" customFormat="1" ht="11.5" customHeight="1" x14ac:dyDescent="0.35">
      <c r="A4" s="17"/>
      <c r="B4" s="17"/>
      <c r="C4" s="13" t="s">
        <v>110</v>
      </c>
      <c r="D4" s="127">
        <v>0.4133</v>
      </c>
      <c r="E4" s="14"/>
      <c r="F4" s="18" t="e">
        <f>+((F2-10617)/(F6-E6))/F1</f>
        <v>#DIV/0!</v>
      </c>
      <c r="G4" s="18" t="e">
        <f>((G2-E2)/(G6-E6))/G1</f>
        <v>#DIV/0!</v>
      </c>
      <c r="H4" s="61"/>
    </row>
    <row r="5" spans="1:10" s="16" customFormat="1" ht="11.5" customHeight="1" x14ac:dyDescent="0.35">
      <c r="A5" s="20"/>
      <c r="B5" s="20"/>
      <c r="C5" s="21" t="s">
        <v>112</v>
      </c>
      <c r="D5" s="124">
        <v>12.4</v>
      </c>
      <c r="E5" s="22"/>
      <c r="F5" s="23" t="e">
        <f>+F4*30</f>
        <v>#DIV/0!</v>
      </c>
      <c r="G5" s="30" t="e">
        <f>G4*30</f>
        <v>#DIV/0!</v>
      </c>
      <c r="H5" s="61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43784</v>
      </c>
      <c r="E6" s="28">
        <v>43643</v>
      </c>
      <c r="F6" s="28">
        <v>36892</v>
      </c>
      <c r="G6" s="28">
        <v>36892</v>
      </c>
      <c r="J6"/>
    </row>
    <row r="7" spans="1:10" x14ac:dyDescent="0.45">
      <c r="B7" s="9" t="s">
        <v>534</v>
      </c>
      <c r="C7" s="66" t="s">
        <v>16</v>
      </c>
      <c r="D7" s="123">
        <v>240</v>
      </c>
      <c r="E7" s="9">
        <v>200</v>
      </c>
      <c r="H7" s="27">
        <f t="shared" ref="H7:H35" si="0">+((D7-E7)/($D$6-$E$6))*30</f>
        <v>8.5106382978723403</v>
      </c>
      <c r="I7" s="48"/>
      <c r="J7"/>
    </row>
    <row r="8" spans="1:10" x14ac:dyDescent="0.45">
      <c r="B8" s="9" t="s">
        <v>280</v>
      </c>
      <c r="C8" s="66" t="s">
        <v>281</v>
      </c>
      <c r="D8" s="123">
        <v>365</v>
      </c>
      <c r="E8" s="9">
        <v>320</v>
      </c>
      <c r="H8" s="27">
        <f t="shared" si="0"/>
        <v>9.5744680851063837</v>
      </c>
      <c r="I8" s="48"/>
      <c r="J8"/>
    </row>
    <row r="9" spans="1:10" x14ac:dyDescent="0.45">
      <c r="B9" s="9" t="s">
        <v>94</v>
      </c>
      <c r="C9" s="66" t="s">
        <v>9</v>
      </c>
      <c r="D9" s="123">
        <v>310</v>
      </c>
      <c r="E9" s="9">
        <v>270</v>
      </c>
      <c r="H9" s="27">
        <f t="shared" si="0"/>
        <v>8.5106382978723403</v>
      </c>
      <c r="I9" s="48"/>
      <c r="J9"/>
    </row>
    <row r="10" spans="1:10" x14ac:dyDescent="0.45">
      <c r="B10" s="9" t="s">
        <v>283</v>
      </c>
      <c r="C10" s="66" t="s">
        <v>19</v>
      </c>
      <c r="D10" s="123">
        <v>340</v>
      </c>
      <c r="E10" s="9">
        <v>260</v>
      </c>
      <c r="H10" s="27">
        <f t="shared" si="0"/>
        <v>17.021276595744681</v>
      </c>
      <c r="I10" s="48"/>
      <c r="J10" s="48"/>
    </row>
    <row r="11" spans="1:10" x14ac:dyDescent="0.45">
      <c r="B11" s="9" t="s">
        <v>284</v>
      </c>
      <c r="C11" s="66" t="s">
        <v>197</v>
      </c>
      <c r="D11" s="123">
        <v>320</v>
      </c>
      <c r="E11" s="9">
        <v>240</v>
      </c>
      <c r="H11" s="27">
        <f t="shared" si="0"/>
        <v>17.021276595744681</v>
      </c>
      <c r="I11" s="48"/>
      <c r="J11" s="48"/>
    </row>
    <row r="12" spans="1:10" x14ac:dyDescent="0.45">
      <c r="A12" s="40">
        <v>170707</v>
      </c>
      <c r="B12" s="9" t="s">
        <v>285</v>
      </c>
      <c r="C12" s="66" t="s">
        <v>197</v>
      </c>
      <c r="D12" s="123">
        <v>350</v>
      </c>
      <c r="E12" s="9">
        <v>260</v>
      </c>
      <c r="H12" s="27">
        <f t="shared" si="0"/>
        <v>19.148936170212767</v>
      </c>
      <c r="I12" s="48"/>
      <c r="J12" s="49"/>
    </row>
    <row r="13" spans="1:10" x14ac:dyDescent="0.45">
      <c r="B13" s="9" t="s">
        <v>287</v>
      </c>
      <c r="C13" s="66" t="s">
        <v>9</v>
      </c>
      <c r="D13" s="123">
        <v>360</v>
      </c>
      <c r="E13" s="9">
        <v>290</v>
      </c>
      <c r="H13" s="27">
        <f t="shared" si="0"/>
        <v>14.893617021276595</v>
      </c>
      <c r="I13" s="49"/>
      <c r="J13" s="49"/>
    </row>
    <row r="14" spans="1:10" x14ac:dyDescent="0.45">
      <c r="B14" s="9" t="s">
        <v>82</v>
      </c>
      <c r="C14" s="66" t="s">
        <v>265</v>
      </c>
      <c r="D14" s="123">
        <v>320</v>
      </c>
      <c r="E14" s="9">
        <v>270</v>
      </c>
      <c r="H14" s="27">
        <f t="shared" si="0"/>
        <v>10.638297872340425</v>
      </c>
      <c r="I14" s="49"/>
      <c r="J14" s="49"/>
    </row>
    <row r="15" spans="1:10" x14ac:dyDescent="0.45">
      <c r="B15" s="9" t="s">
        <v>288</v>
      </c>
      <c r="C15" s="66" t="s">
        <v>23</v>
      </c>
      <c r="D15" s="123">
        <v>310</v>
      </c>
      <c r="E15" s="9">
        <v>250</v>
      </c>
      <c r="H15" s="27">
        <f t="shared" si="0"/>
        <v>12.76595744680851</v>
      </c>
      <c r="I15" s="49"/>
      <c r="J15" s="49"/>
    </row>
    <row r="16" spans="1:10" x14ac:dyDescent="0.45">
      <c r="B16" s="9" t="s">
        <v>289</v>
      </c>
      <c r="C16" s="66" t="s">
        <v>23</v>
      </c>
      <c r="D16" s="123">
        <v>270</v>
      </c>
      <c r="E16" s="9">
        <v>210</v>
      </c>
      <c r="H16" s="27">
        <f t="shared" si="0"/>
        <v>12.76595744680851</v>
      </c>
      <c r="I16" s="49"/>
      <c r="J16" s="49"/>
    </row>
    <row r="17" spans="1:10" x14ac:dyDescent="0.45">
      <c r="A17" s="9">
        <v>170716</v>
      </c>
      <c r="B17" s="9" t="s">
        <v>290</v>
      </c>
      <c r="C17" s="66" t="s">
        <v>192</v>
      </c>
      <c r="D17" s="123">
        <v>350</v>
      </c>
      <c r="E17" s="9">
        <v>260</v>
      </c>
      <c r="H17" s="27">
        <f t="shared" si="0"/>
        <v>19.148936170212767</v>
      </c>
      <c r="I17" s="49"/>
      <c r="J17" s="49"/>
    </row>
    <row r="18" spans="1:10" x14ac:dyDescent="0.45">
      <c r="A18" s="9">
        <v>170504</v>
      </c>
      <c r="B18" s="9" t="s">
        <v>291</v>
      </c>
      <c r="C18" s="66" t="s">
        <v>292</v>
      </c>
      <c r="D18" s="123">
        <v>300</v>
      </c>
      <c r="E18" s="9">
        <v>250</v>
      </c>
      <c r="H18" s="27">
        <f t="shared" si="0"/>
        <v>10.638297872340425</v>
      </c>
      <c r="I18" s="49"/>
      <c r="J18" s="49"/>
    </row>
    <row r="19" spans="1:10" x14ac:dyDescent="0.45">
      <c r="A19" s="9">
        <v>170615</v>
      </c>
      <c r="B19" s="9" t="s">
        <v>293</v>
      </c>
      <c r="C19" s="66" t="s">
        <v>23</v>
      </c>
      <c r="D19" s="123">
        <v>330</v>
      </c>
      <c r="E19" s="9">
        <v>260</v>
      </c>
      <c r="H19" s="27">
        <f t="shared" si="0"/>
        <v>14.893617021276595</v>
      </c>
      <c r="I19" s="49"/>
      <c r="J19" s="49"/>
    </row>
    <row r="20" spans="1:10" x14ac:dyDescent="0.45">
      <c r="B20" s="9" t="s">
        <v>294</v>
      </c>
      <c r="C20" s="66" t="s">
        <v>272</v>
      </c>
      <c r="D20" s="123">
        <v>310</v>
      </c>
      <c r="E20" s="9">
        <v>250</v>
      </c>
      <c r="H20" s="27">
        <f t="shared" si="0"/>
        <v>12.76595744680851</v>
      </c>
      <c r="I20" s="49"/>
      <c r="J20" s="49"/>
    </row>
    <row r="21" spans="1:10" x14ac:dyDescent="0.45">
      <c r="B21" s="9" t="s">
        <v>295</v>
      </c>
      <c r="C21" s="66" t="s">
        <v>292</v>
      </c>
      <c r="D21" s="123">
        <v>330</v>
      </c>
      <c r="E21" s="9">
        <v>250</v>
      </c>
      <c r="H21" s="27">
        <f t="shared" si="0"/>
        <v>17.021276595744681</v>
      </c>
      <c r="I21" s="49"/>
      <c r="J21" s="49"/>
    </row>
    <row r="22" spans="1:10" x14ac:dyDescent="0.45">
      <c r="B22" s="9" t="s">
        <v>296</v>
      </c>
      <c r="C22" s="66" t="s">
        <v>263</v>
      </c>
      <c r="D22" s="123">
        <v>310</v>
      </c>
      <c r="E22" s="9">
        <v>250</v>
      </c>
      <c r="H22" s="27">
        <f t="shared" si="0"/>
        <v>12.76595744680851</v>
      </c>
      <c r="I22" s="49"/>
      <c r="J22" s="49"/>
    </row>
    <row r="23" spans="1:10" x14ac:dyDescent="0.45">
      <c r="B23" s="9" t="s">
        <v>299</v>
      </c>
      <c r="C23" s="66" t="s">
        <v>23</v>
      </c>
      <c r="D23" s="123">
        <v>350</v>
      </c>
      <c r="E23" s="9">
        <v>300</v>
      </c>
      <c r="H23" s="27">
        <f t="shared" si="0"/>
        <v>10.638297872340425</v>
      </c>
    </row>
    <row r="24" spans="1:10" x14ac:dyDescent="0.45">
      <c r="B24" s="9" t="s">
        <v>301</v>
      </c>
      <c r="C24" s="66" t="s">
        <v>302</v>
      </c>
      <c r="D24" s="123">
        <v>320</v>
      </c>
      <c r="E24" s="9">
        <v>270</v>
      </c>
      <c r="H24" s="27">
        <f t="shared" si="0"/>
        <v>10.638297872340425</v>
      </c>
    </row>
    <row r="25" spans="1:10" x14ac:dyDescent="0.45">
      <c r="B25" s="9" t="s">
        <v>86</v>
      </c>
      <c r="C25" s="66" t="s">
        <v>23</v>
      </c>
      <c r="D25" s="123">
        <v>340</v>
      </c>
      <c r="E25" s="9">
        <v>290</v>
      </c>
      <c r="H25" s="27">
        <f t="shared" si="0"/>
        <v>10.638297872340425</v>
      </c>
    </row>
    <row r="26" spans="1:10" x14ac:dyDescent="0.45">
      <c r="B26" s="9" t="s">
        <v>303</v>
      </c>
      <c r="C26" s="66" t="s">
        <v>9</v>
      </c>
      <c r="D26" s="123">
        <v>310</v>
      </c>
      <c r="E26" s="9">
        <v>260</v>
      </c>
      <c r="H26" s="27">
        <f t="shared" si="0"/>
        <v>10.638297872340425</v>
      </c>
    </row>
    <row r="27" spans="1:10" x14ac:dyDescent="0.45">
      <c r="B27" s="9" t="s">
        <v>304</v>
      </c>
      <c r="C27" s="66" t="s">
        <v>15</v>
      </c>
      <c r="D27" s="123">
        <v>320</v>
      </c>
      <c r="E27" s="9">
        <v>230</v>
      </c>
      <c r="H27" s="27">
        <f t="shared" si="0"/>
        <v>19.148936170212767</v>
      </c>
    </row>
    <row r="28" spans="1:10" x14ac:dyDescent="0.45">
      <c r="B28" s="9" t="s">
        <v>306</v>
      </c>
      <c r="C28" s="66" t="s">
        <v>23</v>
      </c>
      <c r="D28" s="123">
        <v>410</v>
      </c>
      <c r="E28" s="9">
        <v>330</v>
      </c>
      <c r="H28" s="27">
        <f t="shared" si="0"/>
        <v>17.021276595744681</v>
      </c>
    </row>
    <row r="29" spans="1:10" x14ac:dyDescent="0.45">
      <c r="A29" s="37"/>
      <c r="B29" s="9" t="s">
        <v>307</v>
      </c>
      <c r="C29" s="66" t="s">
        <v>308</v>
      </c>
      <c r="D29" s="123">
        <v>320</v>
      </c>
      <c r="E29" s="9">
        <v>250</v>
      </c>
      <c r="H29" s="27">
        <f t="shared" si="0"/>
        <v>14.893617021276595</v>
      </c>
    </row>
    <row r="30" spans="1:10" x14ac:dyDescent="0.45">
      <c r="A30" s="9">
        <v>170705</v>
      </c>
      <c r="B30" s="73"/>
      <c r="C30" s="72" t="s">
        <v>9</v>
      </c>
      <c r="D30" s="9">
        <v>270</v>
      </c>
      <c r="E30" s="9">
        <v>330</v>
      </c>
      <c r="F30" s="31"/>
      <c r="G30" s="31"/>
      <c r="H30" s="27">
        <f t="shared" si="0"/>
        <v>-12.76595744680851</v>
      </c>
    </row>
    <row r="31" spans="1:10" x14ac:dyDescent="0.45">
      <c r="B31" s="31" t="s">
        <v>319</v>
      </c>
      <c r="C31" s="70"/>
      <c r="D31" s="31">
        <v>330</v>
      </c>
      <c r="E31" s="9">
        <v>270</v>
      </c>
      <c r="F31" s="31"/>
      <c r="G31" s="31"/>
      <c r="H31" s="27">
        <f t="shared" si="0"/>
        <v>12.76595744680851</v>
      </c>
    </row>
    <row r="32" spans="1:10" x14ac:dyDescent="0.45">
      <c r="A32" s="9">
        <v>170113</v>
      </c>
      <c r="B32" s="9" t="s">
        <v>75</v>
      </c>
      <c r="C32" s="9"/>
      <c r="D32" s="9">
        <v>290</v>
      </c>
      <c r="E32" s="9">
        <v>242</v>
      </c>
      <c r="F32" s="31"/>
      <c r="G32" s="31"/>
      <c r="H32" s="27">
        <f t="shared" si="0"/>
        <v>10.212765957446809</v>
      </c>
    </row>
    <row r="33" spans="1:8" x14ac:dyDescent="0.45">
      <c r="A33" s="31">
        <v>170802</v>
      </c>
      <c r="C33" s="31"/>
      <c r="D33" s="31">
        <v>300</v>
      </c>
      <c r="E33" s="31">
        <v>260</v>
      </c>
      <c r="F33" s="31"/>
      <c r="G33" s="31"/>
      <c r="H33" s="27">
        <f t="shared" si="0"/>
        <v>8.5106382978723403</v>
      </c>
    </row>
    <row r="34" spans="1:8" x14ac:dyDescent="0.45">
      <c r="A34" s="31" t="s">
        <v>325</v>
      </c>
      <c r="B34" s="70"/>
      <c r="C34" s="31"/>
      <c r="D34" s="31">
        <v>280</v>
      </c>
      <c r="E34" s="31">
        <v>220</v>
      </c>
      <c r="F34" s="31"/>
      <c r="G34" s="31"/>
      <c r="H34" s="27">
        <f t="shared" si="0"/>
        <v>12.76595744680851</v>
      </c>
    </row>
    <row r="35" spans="1:8" x14ac:dyDescent="0.45">
      <c r="A35" s="31" t="s">
        <v>321</v>
      </c>
      <c r="B35" s="70"/>
      <c r="C35" s="31"/>
      <c r="D35" s="31">
        <v>290</v>
      </c>
      <c r="E35" s="31">
        <v>220</v>
      </c>
      <c r="F35" s="31"/>
      <c r="G35" s="31"/>
      <c r="H35" s="27">
        <f t="shared" si="0"/>
        <v>14.893617021276595</v>
      </c>
    </row>
    <row r="36" spans="1:8" x14ac:dyDescent="0.45">
      <c r="A36" s="31">
        <v>170119</v>
      </c>
      <c r="B36" s="31"/>
      <c r="C36" s="31"/>
      <c r="D36" s="31">
        <v>250</v>
      </c>
      <c r="E36" s="31"/>
      <c r="F36" s="31"/>
      <c r="G36" s="31"/>
      <c r="H36" s="27"/>
    </row>
    <row r="37" spans="1:8" x14ac:dyDescent="0.45">
      <c r="A37" s="31">
        <v>170701</v>
      </c>
      <c r="B37" s="70"/>
      <c r="C37" s="31"/>
      <c r="D37" s="9">
        <v>280</v>
      </c>
      <c r="E37" s="9">
        <v>210</v>
      </c>
      <c r="H37" s="27">
        <f t="shared" ref="H37:H47" si="1">+((D37-E37)/($D$6-$E$6))*30</f>
        <v>14.893617021276595</v>
      </c>
    </row>
    <row r="38" spans="1:8" x14ac:dyDescent="0.45">
      <c r="B38" s="9" t="s">
        <v>533</v>
      </c>
      <c r="C38" s="9"/>
      <c r="D38" s="9">
        <v>310</v>
      </c>
      <c r="H38" s="27"/>
    </row>
    <row r="39" spans="1:8" x14ac:dyDescent="0.45">
      <c r="B39" s="31" t="s">
        <v>320</v>
      </c>
      <c r="D39" s="31">
        <v>270</v>
      </c>
      <c r="E39" s="31">
        <v>210</v>
      </c>
      <c r="H39" s="27">
        <f t="shared" si="1"/>
        <v>12.76595744680851</v>
      </c>
    </row>
    <row r="40" spans="1:8" x14ac:dyDescent="0.45">
      <c r="B40" s="31" t="s">
        <v>322</v>
      </c>
      <c r="D40" s="31">
        <v>230</v>
      </c>
      <c r="E40" s="31">
        <v>180</v>
      </c>
      <c r="H40" s="27">
        <f t="shared" si="1"/>
        <v>10.638297872340425</v>
      </c>
    </row>
    <row r="41" spans="1:8" x14ac:dyDescent="0.45">
      <c r="A41" s="9">
        <v>170714</v>
      </c>
      <c r="B41" s="9" t="s">
        <v>90</v>
      </c>
      <c r="C41" s="6" t="s">
        <v>9</v>
      </c>
      <c r="D41" s="9">
        <v>280</v>
      </c>
      <c r="E41" s="9">
        <v>237</v>
      </c>
      <c r="H41" s="27">
        <f t="shared" si="1"/>
        <v>9.1489361702127656</v>
      </c>
    </row>
    <row r="42" spans="1:8" x14ac:dyDescent="0.45">
      <c r="B42" s="9" t="s">
        <v>535</v>
      </c>
      <c r="C42" s="9"/>
      <c r="D42" s="9">
        <v>310</v>
      </c>
      <c r="H42" s="27"/>
    </row>
    <row r="43" spans="1:8" x14ac:dyDescent="0.45">
      <c r="A43" s="9">
        <v>160504</v>
      </c>
      <c r="B43" s="31" t="s">
        <v>536</v>
      </c>
      <c r="C43" s="70"/>
      <c r="D43" s="31">
        <v>320</v>
      </c>
      <c r="E43" s="9">
        <v>250</v>
      </c>
      <c r="H43" s="27">
        <f t="shared" si="1"/>
        <v>14.893617021276595</v>
      </c>
    </row>
    <row r="44" spans="1:8" x14ac:dyDescent="0.45">
      <c r="A44" s="9">
        <v>170817</v>
      </c>
      <c r="B44" s="9" t="s">
        <v>537</v>
      </c>
      <c r="C44" s="9"/>
      <c r="D44" s="9">
        <v>350</v>
      </c>
      <c r="H44" s="27"/>
    </row>
    <row r="45" spans="1:8" x14ac:dyDescent="0.45">
      <c r="B45" s="31" t="s">
        <v>324</v>
      </c>
      <c r="C45" s="70"/>
      <c r="D45" s="31">
        <v>310</v>
      </c>
      <c r="E45" s="9">
        <v>250</v>
      </c>
      <c r="H45" s="27">
        <f t="shared" si="1"/>
        <v>12.76595744680851</v>
      </c>
    </row>
    <row r="46" spans="1:8" x14ac:dyDescent="0.45">
      <c r="B46" s="31" t="s">
        <v>323</v>
      </c>
      <c r="C46" s="70"/>
      <c r="D46" s="31">
        <v>300</v>
      </c>
      <c r="E46" s="9">
        <v>230</v>
      </c>
      <c r="H46" s="27">
        <f t="shared" si="1"/>
        <v>14.893617021276595</v>
      </c>
    </row>
    <row r="47" spans="1:8" x14ac:dyDescent="0.45">
      <c r="B47" s="31" t="s">
        <v>327</v>
      </c>
      <c r="C47" s="70"/>
      <c r="D47" s="31">
        <v>230</v>
      </c>
      <c r="E47" s="9">
        <v>180</v>
      </c>
      <c r="H47" s="27">
        <f t="shared" si="1"/>
        <v>10.638297872340425</v>
      </c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0"/>
  <dimension ref="A1:K44"/>
  <sheetViews>
    <sheetView workbookViewId="0">
      <pane ySplit="5" topLeftCell="A6" activePane="bottomLeft" state="frozen"/>
      <selection pane="bottomLeft" activeCell="A2" sqref="A2:B2"/>
    </sheetView>
  </sheetViews>
  <sheetFormatPr defaultColWidth="10.81640625" defaultRowHeight="16.5" x14ac:dyDescent="0.45"/>
  <cols>
    <col min="1" max="1" width="11.7265625" style="9" bestFit="1" customWidth="1"/>
    <col min="2" max="2" width="11" style="9" customWidth="1"/>
    <col min="3" max="3" width="15.26953125" style="6" bestFit="1" customWidth="1"/>
    <col min="4" max="4" width="10.453125" style="9" bestFit="1" customWidth="1"/>
    <col min="5" max="5" width="10.453125" style="6" bestFit="1" customWidth="1"/>
    <col min="6" max="8" width="10.453125" style="9" bestFit="1" customWidth="1"/>
    <col min="9" max="9" width="10.81640625" style="9"/>
    <col min="10" max="10" width="11.1796875" style="6" bestFit="1" customWidth="1"/>
    <col min="11" max="16384" width="10.81640625" style="6"/>
  </cols>
  <sheetData>
    <row r="1" spans="1:11" s="16" customFormat="1" ht="17.5" x14ac:dyDescent="0.35">
      <c r="A1" s="129" t="s">
        <v>518</v>
      </c>
      <c r="B1" s="129"/>
      <c r="C1" s="13" t="s">
        <v>114</v>
      </c>
      <c r="D1" s="14">
        <f>COUNT(D7:D39)</f>
        <v>33</v>
      </c>
      <c r="E1" s="14">
        <f>COUNT(E7:E39)</f>
        <v>3</v>
      </c>
      <c r="F1" s="14">
        <f>COUNT(F7:F30)</f>
        <v>0</v>
      </c>
      <c r="G1" s="14"/>
      <c r="H1" s="14">
        <f>COUNT(H8:H30)</f>
        <v>0</v>
      </c>
      <c r="I1" s="60"/>
    </row>
    <row r="2" spans="1:11" s="16" customFormat="1" ht="11.5" customHeight="1" x14ac:dyDescent="0.35">
      <c r="A2" s="130"/>
      <c r="B2" s="130"/>
      <c r="C2" s="13" t="s">
        <v>109</v>
      </c>
      <c r="D2" s="14">
        <f>SUM(D7:D39)</f>
        <v>13645</v>
      </c>
      <c r="E2" s="14">
        <f>SUM(E7:E39)</f>
        <v>980</v>
      </c>
      <c r="F2" s="14">
        <f>SUM(F7:F39)</f>
        <v>0</v>
      </c>
      <c r="G2" s="14"/>
      <c r="H2" s="14">
        <f>SUM(H8:H41)</f>
        <v>0</v>
      </c>
      <c r="I2" s="61"/>
    </row>
    <row r="3" spans="1:11" s="16" customFormat="1" ht="11.5" customHeight="1" x14ac:dyDescent="0.35">
      <c r="A3" s="17"/>
      <c r="B3" s="17"/>
      <c r="C3" s="13" t="s">
        <v>108</v>
      </c>
      <c r="D3" s="17">
        <f>+D2/D1</f>
        <v>413.4848484848485</v>
      </c>
      <c r="E3" s="14">
        <f>E2/COUNT(E7:E39)</f>
        <v>326.66666666666669</v>
      </c>
      <c r="F3" s="14" t="e">
        <f>F2/COUNT(F7:F39)</f>
        <v>#DIV/0!</v>
      </c>
      <c r="G3" s="14"/>
      <c r="H3" s="14" t="e">
        <f>H2/COUNT(H8:H41)</f>
        <v>#DIV/0!</v>
      </c>
      <c r="I3" s="61"/>
    </row>
    <row r="4" spans="1:11" s="16" customFormat="1" ht="11.5" customHeight="1" x14ac:dyDescent="0.35">
      <c r="A4" s="17"/>
      <c r="B4" s="17"/>
      <c r="C4" s="13" t="s">
        <v>110</v>
      </c>
      <c r="D4" s="118">
        <v>0.42</v>
      </c>
      <c r="E4" s="18"/>
      <c r="F4" s="14"/>
      <c r="G4" s="18"/>
      <c r="H4" s="18" t="e">
        <f>((H2-F2)/(H6-F6))/H1</f>
        <v>#DIV/0!</v>
      </c>
      <c r="I4" s="61"/>
    </row>
    <row r="5" spans="1:11" s="16" customFormat="1" ht="11.5" customHeight="1" x14ac:dyDescent="0.35">
      <c r="A5" s="20"/>
      <c r="B5" s="20"/>
      <c r="C5" s="21" t="s">
        <v>112</v>
      </c>
      <c r="D5" s="124">
        <v>12.6</v>
      </c>
      <c r="E5" s="23"/>
      <c r="F5" s="22"/>
      <c r="G5" s="23"/>
      <c r="H5" s="30" t="e">
        <f>H4*30</f>
        <v>#DIV/0!</v>
      </c>
      <c r="I5" s="61"/>
    </row>
    <row r="6" spans="1:11" x14ac:dyDescent="0.45">
      <c r="A6" s="36" t="s">
        <v>182</v>
      </c>
      <c r="B6" s="36" t="s">
        <v>39</v>
      </c>
      <c r="C6" s="7" t="s">
        <v>0</v>
      </c>
      <c r="D6" s="28">
        <v>43788</v>
      </c>
      <c r="E6" s="28">
        <v>43637</v>
      </c>
      <c r="F6" s="28"/>
      <c r="G6" s="28"/>
      <c r="H6" s="28"/>
      <c r="I6" s="1"/>
      <c r="K6"/>
    </row>
    <row r="7" spans="1:11" x14ac:dyDescent="0.45">
      <c r="A7" s="9">
        <v>8561</v>
      </c>
      <c r="D7" s="9">
        <v>430</v>
      </c>
      <c r="E7" s="9">
        <v>310</v>
      </c>
      <c r="H7" s="28"/>
      <c r="I7" s="3"/>
      <c r="K7"/>
    </row>
    <row r="8" spans="1:11" x14ac:dyDescent="0.45">
      <c r="A8" s="9">
        <v>8566</v>
      </c>
      <c r="D8" s="9">
        <v>420</v>
      </c>
      <c r="G8" s="6"/>
      <c r="I8" s="27"/>
      <c r="J8" s="48"/>
      <c r="K8"/>
    </row>
    <row r="9" spans="1:11" x14ac:dyDescent="0.45">
      <c r="A9" s="9">
        <v>8568</v>
      </c>
      <c r="D9" s="9">
        <v>410</v>
      </c>
      <c r="E9" s="9"/>
      <c r="G9" s="6"/>
      <c r="I9" s="27"/>
      <c r="J9" s="48"/>
      <c r="K9"/>
    </row>
    <row r="10" spans="1:11" x14ac:dyDescent="0.45">
      <c r="A10" s="9">
        <v>8569</v>
      </c>
      <c r="D10" s="9">
        <v>360</v>
      </c>
      <c r="E10" s="9"/>
      <c r="G10" s="6"/>
      <c r="I10" s="27"/>
      <c r="J10" s="48"/>
      <c r="K10"/>
    </row>
    <row r="11" spans="1:11" x14ac:dyDescent="0.45">
      <c r="A11" s="9">
        <v>8570</v>
      </c>
      <c r="D11" s="9">
        <v>430</v>
      </c>
      <c r="E11" s="9"/>
      <c r="G11" s="6"/>
      <c r="I11" s="27"/>
      <c r="J11" s="48"/>
      <c r="K11" s="48"/>
    </row>
    <row r="12" spans="1:11" x14ac:dyDescent="0.45">
      <c r="A12" s="9">
        <v>8571</v>
      </c>
      <c r="D12" s="9">
        <v>440</v>
      </c>
      <c r="E12" s="9"/>
      <c r="G12" s="6"/>
      <c r="I12" s="27"/>
      <c r="J12" s="48"/>
      <c r="K12" s="48"/>
    </row>
    <row r="13" spans="1:11" x14ac:dyDescent="0.45">
      <c r="A13" s="9">
        <v>8572</v>
      </c>
      <c r="D13" s="9">
        <v>370</v>
      </c>
      <c r="E13" s="9"/>
      <c r="G13" s="6"/>
      <c r="I13" s="27"/>
      <c r="J13" s="48"/>
      <c r="K13" s="48"/>
    </row>
    <row r="14" spans="1:11" x14ac:dyDescent="0.45">
      <c r="A14" s="9">
        <v>8574</v>
      </c>
      <c r="D14" s="9">
        <v>400</v>
      </c>
      <c r="E14" s="9"/>
      <c r="G14" s="6"/>
      <c r="I14" s="27"/>
      <c r="J14" s="48"/>
      <c r="K14" s="49"/>
    </row>
    <row r="15" spans="1:11" x14ac:dyDescent="0.45">
      <c r="A15" s="9">
        <v>8575</v>
      </c>
      <c r="D15" s="9">
        <v>440</v>
      </c>
      <c r="E15" s="9"/>
      <c r="G15" s="6"/>
      <c r="I15" s="27"/>
      <c r="J15" s="49"/>
      <c r="K15" s="49"/>
    </row>
    <row r="16" spans="1:11" x14ac:dyDescent="0.45">
      <c r="A16" s="9">
        <v>8576</v>
      </c>
      <c r="D16" s="9">
        <v>350</v>
      </c>
      <c r="E16" s="9"/>
      <c r="G16" s="6"/>
      <c r="J16" s="49"/>
      <c r="K16" s="49"/>
    </row>
    <row r="17" spans="1:11" x14ac:dyDescent="0.45">
      <c r="A17" s="9">
        <v>8579</v>
      </c>
      <c r="D17" s="9">
        <v>430</v>
      </c>
      <c r="E17" s="9"/>
      <c r="G17" s="6"/>
      <c r="I17" s="27"/>
      <c r="J17" s="49"/>
      <c r="K17" s="49"/>
    </row>
    <row r="18" spans="1:11" x14ac:dyDescent="0.45">
      <c r="A18" s="9">
        <v>8581</v>
      </c>
      <c r="D18" s="9">
        <v>400</v>
      </c>
      <c r="E18" s="9"/>
      <c r="G18" s="6"/>
      <c r="J18" s="49"/>
      <c r="K18" s="49"/>
    </row>
    <row r="19" spans="1:11" x14ac:dyDescent="0.45">
      <c r="A19" s="9">
        <v>8582</v>
      </c>
      <c r="D19" s="9">
        <v>340</v>
      </c>
      <c r="E19" s="9"/>
      <c r="G19" s="6"/>
      <c r="I19" s="27"/>
      <c r="J19" s="49"/>
      <c r="K19" s="49"/>
    </row>
    <row r="20" spans="1:11" x14ac:dyDescent="0.45">
      <c r="A20" s="9">
        <v>8585</v>
      </c>
      <c r="D20" s="9">
        <v>420</v>
      </c>
      <c r="E20" s="9"/>
      <c r="G20" s="6"/>
      <c r="I20" s="27"/>
      <c r="J20" s="49"/>
      <c r="K20" s="49"/>
    </row>
    <row r="21" spans="1:11" x14ac:dyDescent="0.45">
      <c r="A21" s="9">
        <v>8586</v>
      </c>
      <c r="D21" s="9">
        <v>430</v>
      </c>
      <c r="E21" s="9"/>
      <c r="G21" s="6"/>
      <c r="I21" s="27"/>
      <c r="J21" s="49"/>
      <c r="K21" s="49"/>
    </row>
    <row r="22" spans="1:11" x14ac:dyDescent="0.45">
      <c r="A22" s="9">
        <v>8587</v>
      </c>
      <c r="D22" s="9">
        <v>400</v>
      </c>
      <c r="E22" s="9"/>
      <c r="G22" s="6"/>
      <c r="I22" s="27"/>
      <c r="J22" s="49"/>
      <c r="K22" s="49"/>
    </row>
    <row r="23" spans="1:11" x14ac:dyDescent="0.45">
      <c r="A23" s="9">
        <v>8588</v>
      </c>
      <c r="D23" s="9">
        <v>400</v>
      </c>
      <c r="E23" s="9">
        <v>340</v>
      </c>
      <c r="G23" s="6"/>
      <c r="I23" s="27"/>
      <c r="J23" s="49"/>
      <c r="K23" s="49"/>
    </row>
    <row r="24" spans="1:11" x14ac:dyDescent="0.45">
      <c r="A24" s="9">
        <v>8590</v>
      </c>
      <c r="D24" s="9">
        <v>400</v>
      </c>
      <c r="E24" s="9">
        <v>330</v>
      </c>
      <c r="G24" s="6"/>
      <c r="I24" s="27"/>
      <c r="J24" s="62"/>
    </row>
    <row r="25" spans="1:11" x14ac:dyDescent="0.45">
      <c r="A25" s="9">
        <v>8591</v>
      </c>
      <c r="D25" s="9">
        <v>370</v>
      </c>
      <c r="E25" s="9"/>
      <c r="G25" s="6"/>
      <c r="I25" s="27"/>
    </row>
    <row r="26" spans="1:11" x14ac:dyDescent="0.45">
      <c r="A26" s="9">
        <v>8593</v>
      </c>
      <c r="D26" s="9">
        <v>380</v>
      </c>
      <c r="E26" s="9"/>
      <c r="G26" s="6"/>
      <c r="I26" s="27"/>
    </row>
    <row r="27" spans="1:11" x14ac:dyDescent="0.45">
      <c r="A27" s="9">
        <v>8597</v>
      </c>
      <c r="D27" s="9">
        <v>400</v>
      </c>
      <c r="E27" s="9"/>
      <c r="G27" s="6"/>
      <c r="I27" s="27"/>
    </row>
    <row r="28" spans="1:11" x14ac:dyDescent="0.45">
      <c r="A28" s="9">
        <v>8599</v>
      </c>
      <c r="D28" s="9">
        <v>415</v>
      </c>
      <c r="E28" s="9"/>
      <c r="G28" s="6"/>
      <c r="I28" s="27"/>
    </row>
    <row r="29" spans="1:11" x14ac:dyDescent="0.45">
      <c r="A29" s="9">
        <v>85100</v>
      </c>
      <c r="D29" s="9">
        <v>425</v>
      </c>
      <c r="E29" s="9"/>
      <c r="G29" s="6"/>
      <c r="I29" s="27"/>
    </row>
    <row r="30" spans="1:11" x14ac:dyDescent="0.45">
      <c r="A30" s="9">
        <v>85102</v>
      </c>
      <c r="D30" s="9">
        <v>390</v>
      </c>
      <c r="E30" s="9"/>
      <c r="G30" s="6"/>
      <c r="H30" s="31"/>
      <c r="I30" s="27"/>
    </row>
    <row r="31" spans="1:11" x14ac:dyDescent="0.45">
      <c r="A31" s="9">
        <v>85105</v>
      </c>
      <c r="D31" s="9">
        <v>400</v>
      </c>
      <c r="E31" s="9"/>
      <c r="G31" s="6"/>
      <c r="H31" s="31"/>
      <c r="I31" s="27"/>
    </row>
    <row r="32" spans="1:11" x14ac:dyDescent="0.45">
      <c r="A32" s="9">
        <v>85108</v>
      </c>
      <c r="D32" s="9">
        <v>400</v>
      </c>
      <c r="E32" s="9"/>
      <c r="G32" s="6"/>
      <c r="H32" s="31"/>
      <c r="I32" s="31"/>
    </row>
    <row r="33" spans="1:11" x14ac:dyDescent="0.45">
      <c r="A33" s="9">
        <v>85109</v>
      </c>
      <c r="D33" s="9">
        <v>390</v>
      </c>
      <c r="E33" s="9"/>
      <c r="G33" s="6"/>
      <c r="H33" s="31"/>
      <c r="I33" s="27"/>
    </row>
    <row r="34" spans="1:11" x14ac:dyDescent="0.45">
      <c r="A34" s="9">
        <v>81202</v>
      </c>
      <c r="D34" s="9">
        <v>490</v>
      </c>
      <c r="E34" s="9"/>
      <c r="G34" s="6"/>
      <c r="H34" s="31"/>
      <c r="I34" s="27"/>
    </row>
    <row r="35" spans="1:11" x14ac:dyDescent="0.45">
      <c r="A35" s="9">
        <v>81204</v>
      </c>
      <c r="D35" s="9">
        <v>470</v>
      </c>
      <c r="E35" s="9"/>
      <c r="G35" s="6"/>
      <c r="H35" s="31"/>
      <c r="I35" s="27"/>
    </row>
    <row r="36" spans="1:11" x14ac:dyDescent="0.45">
      <c r="A36" s="9">
        <v>81205</v>
      </c>
      <c r="D36" s="9">
        <v>450</v>
      </c>
      <c r="E36" s="9"/>
      <c r="G36" s="6"/>
      <c r="H36" s="31"/>
      <c r="I36" s="27"/>
    </row>
    <row r="37" spans="1:11" x14ac:dyDescent="0.45">
      <c r="A37" s="9">
        <v>81206</v>
      </c>
      <c r="D37" s="9">
        <v>400</v>
      </c>
      <c r="E37" s="9"/>
      <c r="G37" s="31"/>
      <c r="H37" s="31"/>
    </row>
    <row r="38" spans="1:11" x14ac:dyDescent="0.45">
      <c r="A38" s="9">
        <v>81207</v>
      </c>
      <c r="D38" s="9">
        <v>450</v>
      </c>
      <c r="E38" s="9"/>
      <c r="G38" s="31"/>
      <c r="H38" s="31"/>
    </row>
    <row r="39" spans="1:11" x14ac:dyDescent="0.45">
      <c r="A39" s="9">
        <v>160814</v>
      </c>
      <c r="D39" s="9">
        <v>545</v>
      </c>
      <c r="E39" s="9"/>
      <c r="G39" s="31"/>
      <c r="H39" s="31"/>
    </row>
    <row r="40" spans="1:11" x14ac:dyDescent="0.45">
      <c r="A40" s="6"/>
      <c r="B40" s="6"/>
      <c r="D40" s="6"/>
      <c r="F40" s="6"/>
      <c r="G40" s="31"/>
      <c r="H40" s="31"/>
    </row>
    <row r="41" spans="1:11" x14ac:dyDescent="0.45">
      <c r="A41" s="6"/>
      <c r="B41" s="6"/>
      <c r="D41" s="6"/>
      <c r="F41" s="6"/>
      <c r="I41" s="59"/>
      <c r="J41" s="49"/>
      <c r="K41" s="49"/>
    </row>
    <row r="42" spans="1:11" x14ac:dyDescent="0.45">
      <c r="A42" s="6"/>
      <c r="B42" s="6"/>
      <c r="D42" s="6"/>
      <c r="F42" s="6"/>
      <c r="G42" s="31"/>
      <c r="H42" s="31"/>
    </row>
    <row r="43" spans="1:11" x14ac:dyDescent="0.45">
      <c r="A43" s="6"/>
      <c r="B43" s="6"/>
      <c r="D43" s="6"/>
      <c r="F43" s="6"/>
    </row>
    <row r="44" spans="1:11" x14ac:dyDescent="0.45">
      <c r="A44" s="6"/>
      <c r="B44" s="6"/>
      <c r="D44" s="6"/>
    </row>
  </sheetData>
  <mergeCells count="2">
    <mergeCell ref="A1:B1"/>
    <mergeCell ref="A2:B2"/>
  </mergeCells>
  <conditionalFormatting sqref="I8:I36">
    <cfRule type="cellIs" dxfId="5" priority="1" operator="greaterThan">
      <formula>13</formula>
    </cfRule>
    <cfRule type="cellIs" dxfId="4" priority="2" operator="lessThan">
      <formula>12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5">
    <tabColor rgb="FFFFFF00"/>
  </sheetPr>
  <dimension ref="A1:I39"/>
  <sheetViews>
    <sheetView workbookViewId="0">
      <pane ySplit="5" topLeftCell="A6" activePane="bottomLeft" state="frozen"/>
      <selection pane="bottomLeft" activeCell="H27" sqref="H27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6" customWidth="1"/>
    <col min="5" max="7" width="10.453125" style="9" bestFit="1" customWidth="1"/>
    <col min="8" max="16384" width="10.81640625" style="6"/>
  </cols>
  <sheetData>
    <row r="1" spans="1:9" s="16" customFormat="1" ht="17.5" x14ac:dyDescent="0.35">
      <c r="A1" s="129" t="s">
        <v>387</v>
      </c>
      <c r="B1" s="129"/>
      <c r="C1" s="13" t="s">
        <v>114</v>
      </c>
      <c r="D1" s="14">
        <f>COUNT(D8:D35)</f>
        <v>4</v>
      </c>
      <c r="E1" s="14">
        <f>COUNT(E8:E35)</f>
        <v>10</v>
      </c>
      <c r="F1" s="14"/>
      <c r="G1" s="14">
        <f>COUNT(G7:G35)</f>
        <v>0</v>
      </c>
    </row>
    <row r="2" spans="1:9" s="16" customFormat="1" ht="11.5" customHeight="1" x14ac:dyDescent="0.35">
      <c r="A2" s="130" t="s">
        <v>231</v>
      </c>
      <c r="B2" s="130"/>
      <c r="C2" s="13" t="s">
        <v>109</v>
      </c>
      <c r="D2" s="14">
        <f>SUM(D8:D38)</f>
        <v>44649</v>
      </c>
      <c r="E2" s="14">
        <f>SUM(E8:E38)</f>
        <v>89630</v>
      </c>
      <c r="F2" s="14"/>
      <c r="G2" s="14">
        <f>SUM(G7:G38)</f>
        <v>0</v>
      </c>
    </row>
    <row r="3" spans="1:9" s="16" customFormat="1" ht="11.5" customHeight="1" x14ac:dyDescent="0.35">
      <c r="A3" s="17"/>
      <c r="B3" s="17"/>
      <c r="C3" s="13" t="s">
        <v>108</v>
      </c>
      <c r="D3" s="14">
        <f>D2/COUNT(D8:D38)</f>
        <v>11162.25</v>
      </c>
      <c r="E3" s="14">
        <f>E2/COUNT(E8:E38)</f>
        <v>8963</v>
      </c>
      <c r="F3" s="14"/>
      <c r="G3" s="14" t="e">
        <f>G2/COUNT(G7:G38)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8"/>
      <c r="E4" s="14"/>
      <c r="F4" s="18"/>
      <c r="G4" s="18" t="e">
        <f>((G2-E2)/(G6-E6))/G1</f>
        <v>#DIV/0!</v>
      </c>
    </row>
    <row r="5" spans="1:9" s="16" customFormat="1" ht="11.5" customHeight="1" x14ac:dyDescent="0.35">
      <c r="A5" s="20"/>
      <c r="B5" s="20"/>
      <c r="C5" s="21" t="s">
        <v>112</v>
      </c>
      <c r="D5" s="23"/>
      <c r="E5" s="22"/>
      <c r="F5" s="23"/>
      <c r="G5" s="30" t="e">
        <f>G4*30</f>
        <v>#DIV/0!</v>
      </c>
    </row>
    <row r="6" spans="1:9" x14ac:dyDescent="0.45">
      <c r="A6" s="36" t="s">
        <v>182</v>
      </c>
      <c r="B6" s="36" t="s">
        <v>39</v>
      </c>
      <c r="C6" s="7" t="s">
        <v>0</v>
      </c>
      <c r="D6" s="28">
        <v>43622</v>
      </c>
      <c r="E6" s="28"/>
      <c r="F6" s="28"/>
      <c r="G6" s="28"/>
    </row>
    <row r="7" spans="1:9" x14ac:dyDescent="0.45">
      <c r="A7" s="3">
        <v>8434</v>
      </c>
      <c r="C7" t="s">
        <v>23</v>
      </c>
      <c r="D7" s="3">
        <v>470</v>
      </c>
      <c r="E7" s="3"/>
      <c r="F7" s="3"/>
      <c r="G7" s="3"/>
      <c r="H7" s="48"/>
      <c r="I7" s="49"/>
    </row>
    <row r="8" spans="1:9" x14ac:dyDescent="0.45">
      <c r="A8" s="9">
        <v>84120</v>
      </c>
      <c r="C8" s="6" t="s">
        <v>4</v>
      </c>
      <c r="D8" s="9">
        <v>330</v>
      </c>
      <c r="F8" s="3"/>
      <c r="G8" s="3"/>
      <c r="H8" s="48"/>
      <c r="I8" s="49"/>
    </row>
    <row r="9" spans="1:9" x14ac:dyDescent="0.45">
      <c r="A9" s="9">
        <v>84122</v>
      </c>
      <c r="C9" s="6" t="s">
        <v>131</v>
      </c>
      <c r="D9" s="9">
        <v>329</v>
      </c>
      <c r="F9" s="3"/>
      <c r="G9" s="3"/>
      <c r="H9" s="48"/>
      <c r="I9" s="48"/>
    </row>
    <row r="10" spans="1:9" x14ac:dyDescent="0.45">
      <c r="A10" s="9">
        <v>84131</v>
      </c>
      <c r="C10" s="6" t="s">
        <v>9</v>
      </c>
      <c r="D10" s="9">
        <v>205</v>
      </c>
      <c r="F10" s="3"/>
      <c r="G10" s="3"/>
      <c r="H10" s="48"/>
      <c r="I10" s="48"/>
    </row>
    <row r="11" spans="1:9" x14ac:dyDescent="0.45">
      <c r="D11" s="119">
        <v>43785</v>
      </c>
      <c r="F11" s="3"/>
      <c r="G11" s="3"/>
      <c r="H11" s="48"/>
      <c r="I11" s="48"/>
    </row>
    <row r="12" spans="1:9" x14ac:dyDescent="0.45">
      <c r="A12" s="3"/>
      <c r="B12" s="3"/>
      <c r="C12" s="9"/>
      <c r="D12" s="9"/>
      <c r="F12" s="3"/>
      <c r="G12" s="3"/>
      <c r="H12" s="48"/>
      <c r="I12" s="48"/>
    </row>
    <row r="13" spans="1:9" x14ac:dyDescent="0.45">
      <c r="E13" s="28">
        <v>43637</v>
      </c>
      <c r="G13" s="3"/>
      <c r="H13" s="48"/>
      <c r="I13" s="48"/>
    </row>
    <row r="14" spans="1:9" x14ac:dyDescent="0.45">
      <c r="D14" s="9"/>
      <c r="G14" s="3"/>
      <c r="H14" s="49"/>
      <c r="I14" s="49"/>
    </row>
    <row r="15" spans="1:9" x14ac:dyDescent="0.45">
      <c r="A15" s="9">
        <v>81207</v>
      </c>
      <c r="C15" s="6" t="s">
        <v>258</v>
      </c>
      <c r="D15" s="9"/>
      <c r="E15" s="9">
        <v>390</v>
      </c>
      <c r="F15" s="9">
        <v>290</v>
      </c>
      <c r="G15" s="3"/>
      <c r="H15" s="49"/>
      <c r="I15" s="49"/>
    </row>
    <row r="16" spans="1:9" x14ac:dyDescent="0.45">
      <c r="A16" s="6"/>
      <c r="B16" s="6"/>
      <c r="E16" s="28">
        <v>43643</v>
      </c>
      <c r="F16" s="6"/>
      <c r="G16" s="6"/>
      <c r="H16" s="49"/>
      <c r="I16" s="49"/>
    </row>
    <row r="17" spans="1:9" x14ac:dyDescent="0.45">
      <c r="B17" s="9" t="s">
        <v>279</v>
      </c>
      <c r="C17" s="66" t="s">
        <v>36</v>
      </c>
      <c r="D17" s="123"/>
      <c r="E17" s="9">
        <v>300</v>
      </c>
      <c r="F17" s="3"/>
      <c r="G17" s="3"/>
      <c r="H17" s="49"/>
      <c r="I17" s="49"/>
    </row>
    <row r="18" spans="1:9" x14ac:dyDescent="0.45">
      <c r="B18" s="9" t="s">
        <v>282</v>
      </c>
      <c r="C18" s="66" t="s">
        <v>9</v>
      </c>
      <c r="D18" s="123"/>
      <c r="E18" s="9">
        <v>250</v>
      </c>
      <c r="F18" s="3"/>
      <c r="G18" s="3"/>
      <c r="H18" s="49"/>
      <c r="I18" s="49"/>
    </row>
    <row r="19" spans="1:9" x14ac:dyDescent="0.45">
      <c r="A19" s="6"/>
      <c r="B19" s="9" t="s">
        <v>286</v>
      </c>
      <c r="C19" s="66" t="s">
        <v>9</v>
      </c>
      <c r="D19" s="123"/>
      <c r="E19" s="9">
        <v>240</v>
      </c>
      <c r="F19" s="3"/>
      <c r="G19" s="3"/>
      <c r="H19" s="49"/>
      <c r="I19" s="49"/>
    </row>
    <row r="20" spans="1:9" x14ac:dyDescent="0.45">
      <c r="B20" s="9" t="s">
        <v>297</v>
      </c>
      <c r="C20" s="66" t="s">
        <v>23</v>
      </c>
      <c r="D20" s="123"/>
      <c r="E20" s="9">
        <v>300</v>
      </c>
      <c r="F20" s="3"/>
      <c r="G20" s="3"/>
      <c r="H20" s="49"/>
      <c r="I20" s="49"/>
    </row>
    <row r="21" spans="1:9" x14ac:dyDescent="0.45">
      <c r="B21" s="9" t="s">
        <v>300</v>
      </c>
      <c r="C21" s="66" t="s">
        <v>36</v>
      </c>
      <c r="D21" s="123"/>
      <c r="E21" s="9">
        <v>340</v>
      </c>
      <c r="F21" s="3"/>
      <c r="G21" s="3"/>
      <c r="H21" s="49"/>
      <c r="I21" s="49"/>
    </row>
    <row r="22" spans="1:9" x14ac:dyDescent="0.45">
      <c r="B22" s="9" t="s">
        <v>305</v>
      </c>
      <c r="C22" s="66" t="s">
        <v>18</v>
      </c>
      <c r="D22" s="123"/>
      <c r="E22" s="9">
        <v>280</v>
      </c>
      <c r="F22" s="3"/>
      <c r="G22" s="3"/>
      <c r="H22" s="48"/>
      <c r="I22" s="49"/>
    </row>
    <row r="23" spans="1:9" x14ac:dyDescent="0.45">
      <c r="B23" s="9" t="s">
        <v>298</v>
      </c>
      <c r="C23" s="66" t="s">
        <v>146</v>
      </c>
      <c r="D23" s="123"/>
      <c r="E23" s="9">
        <v>250</v>
      </c>
      <c r="F23" s="3"/>
      <c r="G23" s="3"/>
    </row>
    <row r="24" spans="1:9" x14ac:dyDescent="0.45">
      <c r="F24" s="3"/>
      <c r="G24" s="3"/>
    </row>
    <row r="25" spans="1:9" x14ac:dyDescent="0.45">
      <c r="F25" s="3"/>
      <c r="G25" s="3"/>
    </row>
    <row r="26" spans="1:9" x14ac:dyDescent="0.45">
      <c r="F26" s="3"/>
      <c r="G26" s="3"/>
    </row>
    <row r="27" spans="1:9" x14ac:dyDescent="0.45">
      <c r="F27" s="3"/>
      <c r="G27" s="3"/>
    </row>
    <row r="28" spans="1:9" x14ac:dyDescent="0.45">
      <c r="A28"/>
      <c r="B28" s="6"/>
      <c r="C28"/>
      <c r="D28"/>
      <c r="E28" s="3"/>
      <c r="F28" s="33"/>
      <c r="G28" s="3"/>
    </row>
    <row r="29" spans="1:9" x14ac:dyDescent="0.45">
      <c r="A29"/>
      <c r="B29" s="6"/>
      <c r="C29"/>
      <c r="D29"/>
      <c r="E29" s="3"/>
      <c r="F29" s="3"/>
      <c r="G29" s="3"/>
    </row>
    <row r="30" spans="1:9" x14ac:dyDescent="0.45">
      <c r="A30"/>
      <c r="B30" s="6"/>
      <c r="C30"/>
      <c r="D30"/>
      <c r="E30" s="3"/>
      <c r="F30" s="3"/>
      <c r="G30" s="3"/>
    </row>
    <row r="31" spans="1:9" x14ac:dyDescent="0.45">
      <c r="A31"/>
      <c r="B31" s="6"/>
      <c r="C31"/>
      <c r="D31"/>
      <c r="E31" s="3"/>
      <c r="F31" s="33"/>
      <c r="G31" s="3"/>
    </row>
    <row r="32" spans="1:9" x14ac:dyDescent="0.45">
      <c r="A32"/>
      <c r="B32"/>
      <c r="E32" s="3"/>
      <c r="F32" s="3"/>
      <c r="G32" s="3"/>
    </row>
    <row r="33" spans="1:7" x14ac:dyDescent="0.45">
      <c r="A33" s="3"/>
      <c r="B33" s="3"/>
      <c r="E33" s="3"/>
      <c r="F33" s="31"/>
      <c r="G33" s="31"/>
    </row>
    <row r="34" spans="1:7" x14ac:dyDescent="0.45">
      <c r="A34" s="3"/>
      <c r="B34" s="3"/>
      <c r="E34" s="3"/>
      <c r="F34" s="31"/>
      <c r="G34" s="31"/>
    </row>
    <row r="35" spans="1:7" x14ac:dyDescent="0.45">
      <c r="A35" s="3"/>
      <c r="B35" s="3"/>
      <c r="E35" s="3"/>
      <c r="F35" s="31"/>
      <c r="G35" s="31"/>
    </row>
    <row r="36" spans="1:7" x14ac:dyDescent="0.45">
      <c r="A36" s="31"/>
      <c r="B36" s="31"/>
      <c r="C36" s="32"/>
      <c r="D36" s="32"/>
      <c r="E36" s="31"/>
      <c r="F36" s="31"/>
      <c r="G36" s="31"/>
    </row>
    <row r="37" spans="1:7" x14ac:dyDescent="0.45">
      <c r="A37" s="31"/>
      <c r="B37" s="31"/>
      <c r="C37" s="32"/>
      <c r="D37" s="32"/>
      <c r="E37" s="31"/>
      <c r="F37" s="31"/>
      <c r="G37" s="31"/>
    </row>
    <row r="38" spans="1:7" x14ac:dyDescent="0.45">
      <c r="A38" s="31"/>
      <c r="B38" s="31"/>
      <c r="C38" s="32"/>
      <c r="D38" s="32"/>
      <c r="E38" s="31"/>
      <c r="F38" s="31"/>
      <c r="G38" s="31"/>
    </row>
    <row r="39" spans="1:7" x14ac:dyDescent="0.45">
      <c r="A39" s="31"/>
      <c r="B39" s="31"/>
      <c r="C39" s="32"/>
      <c r="D39" s="32"/>
      <c r="E39" s="31"/>
      <c r="F39" s="31"/>
      <c r="G39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2D050"/>
  </sheetPr>
  <dimension ref="A1:J44"/>
  <sheetViews>
    <sheetView workbookViewId="0">
      <pane ySplit="5" topLeftCell="A14" activePane="bottomLeft" state="frozen"/>
      <selection pane="bottomLeft" activeCell="A38" sqref="A38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9" customWidth="1"/>
    <col min="5" max="6" width="10.453125" style="9" bestFit="1" customWidth="1"/>
    <col min="7" max="7" width="9.81640625" style="9" bestFit="1" customWidth="1"/>
    <col min="8" max="16384" width="10.81640625" style="6"/>
  </cols>
  <sheetData>
    <row r="1" spans="1:10" s="16" customFormat="1" ht="17.5" x14ac:dyDescent="0.35">
      <c r="A1" s="129" t="s">
        <v>388</v>
      </c>
      <c r="B1" s="129"/>
      <c r="C1" s="13" t="s">
        <v>114</v>
      </c>
      <c r="D1" s="128"/>
      <c r="E1" s="14">
        <f>COUNT(E7:E40)</f>
        <v>30</v>
      </c>
      <c r="F1" s="14"/>
      <c r="G1" s="14">
        <f>COUNT(G7:G40)</f>
        <v>0</v>
      </c>
      <c r="H1" s="45"/>
    </row>
    <row r="2" spans="1:10" s="16" customFormat="1" ht="11.5" customHeight="1" x14ac:dyDescent="0.35">
      <c r="A2" s="130" t="s">
        <v>184</v>
      </c>
      <c r="B2" s="130"/>
      <c r="C2" s="13" t="s">
        <v>109</v>
      </c>
      <c r="D2" s="128"/>
      <c r="E2" s="14">
        <f>SUM(E7:E43)</f>
        <v>9787</v>
      </c>
      <c r="F2" s="14"/>
      <c r="G2" s="14">
        <f>SUM(G7:G43)</f>
        <v>0</v>
      </c>
    </row>
    <row r="3" spans="1:10" s="16" customFormat="1" ht="11.5" customHeight="1" x14ac:dyDescent="0.35">
      <c r="A3" s="17"/>
      <c r="B3" s="17"/>
      <c r="C3" s="13" t="s">
        <v>108</v>
      </c>
      <c r="D3" s="128"/>
      <c r="E3" s="14">
        <f>E2/COUNT(E7:E43)</f>
        <v>326.23333333333335</v>
      </c>
      <c r="F3" s="14"/>
      <c r="G3" s="14" t="e">
        <f>G2/COUNT(G7:G43)</f>
        <v>#DIV/0!</v>
      </c>
    </row>
    <row r="4" spans="1:10" s="16" customFormat="1" ht="11.5" customHeight="1" x14ac:dyDescent="0.35">
      <c r="A4" s="17"/>
      <c r="B4" s="17"/>
      <c r="C4" s="13" t="s">
        <v>110</v>
      </c>
      <c r="D4" s="128"/>
      <c r="E4" s="14"/>
      <c r="F4" s="18"/>
      <c r="G4" s="18" t="e">
        <f>((G2-E2)/(G6-E6))/G1</f>
        <v>#DIV/0!</v>
      </c>
    </row>
    <row r="5" spans="1:10" s="16" customFormat="1" ht="11.5" customHeight="1" x14ac:dyDescent="0.35">
      <c r="A5" s="20"/>
      <c r="B5" s="20"/>
      <c r="C5" s="21" t="s">
        <v>112</v>
      </c>
      <c r="D5" s="124"/>
      <c r="E5" s="22"/>
      <c r="F5" s="23"/>
      <c r="G5" s="30" t="e">
        <f>G4*30</f>
        <v>#DIV/0!</v>
      </c>
    </row>
    <row r="6" spans="1:10" x14ac:dyDescent="0.45">
      <c r="A6" s="36" t="s">
        <v>182</v>
      </c>
      <c r="B6" s="36" t="s">
        <v>39</v>
      </c>
      <c r="C6" s="7" t="s">
        <v>0</v>
      </c>
      <c r="D6" s="28"/>
      <c r="E6" s="28">
        <v>43330</v>
      </c>
      <c r="F6" s="28"/>
      <c r="G6" s="28"/>
      <c r="H6"/>
    </row>
    <row r="7" spans="1:10" x14ac:dyDescent="0.45">
      <c r="A7" s="9">
        <v>8421</v>
      </c>
      <c r="C7" s="6" t="s">
        <v>25</v>
      </c>
      <c r="E7" s="9">
        <v>339</v>
      </c>
      <c r="F7" s="40"/>
      <c r="G7" s="6"/>
      <c r="H7"/>
      <c r="I7"/>
    </row>
    <row r="8" spans="1:10" x14ac:dyDescent="0.45">
      <c r="A8" s="9">
        <v>8423</v>
      </c>
      <c r="C8" s="6" t="s">
        <v>118</v>
      </c>
      <c r="E8" s="9">
        <v>310</v>
      </c>
      <c r="F8" s="40"/>
      <c r="G8" s="6"/>
      <c r="H8"/>
      <c r="I8"/>
    </row>
    <row r="9" spans="1:10" x14ac:dyDescent="0.45">
      <c r="A9" s="9">
        <v>8424</v>
      </c>
      <c r="C9" s="6" t="s">
        <v>119</v>
      </c>
      <c r="E9" s="9">
        <v>330</v>
      </c>
      <c r="F9" s="40"/>
      <c r="G9" s="6"/>
      <c r="H9"/>
      <c r="I9"/>
      <c r="J9"/>
    </row>
    <row r="10" spans="1:10" x14ac:dyDescent="0.45">
      <c r="A10" s="9">
        <v>8425</v>
      </c>
      <c r="C10" s="6" t="s">
        <v>23</v>
      </c>
      <c r="E10" s="9">
        <v>334</v>
      </c>
      <c r="F10" s="40"/>
      <c r="G10" s="6"/>
      <c r="H10"/>
      <c r="I10"/>
      <c r="J10"/>
    </row>
    <row r="11" spans="1:10" x14ac:dyDescent="0.45">
      <c r="A11" s="9">
        <v>8426</v>
      </c>
      <c r="C11" s="6" t="s">
        <v>23</v>
      </c>
      <c r="E11" s="9">
        <v>322</v>
      </c>
      <c r="F11" s="40"/>
      <c r="G11" s="6"/>
      <c r="H11"/>
      <c r="I11"/>
      <c r="J11"/>
    </row>
    <row r="12" spans="1:10" x14ac:dyDescent="0.45">
      <c r="A12" s="9">
        <v>8427</v>
      </c>
      <c r="C12" s="6" t="s">
        <v>18</v>
      </c>
      <c r="E12" s="9">
        <v>350</v>
      </c>
      <c r="F12" s="40"/>
      <c r="G12" s="6"/>
      <c r="H12"/>
      <c r="J12"/>
    </row>
    <row r="13" spans="1:10" x14ac:dyDescent="0.45">
      <c r="A13" s="9">
        <v>8428</v>
      </c>
      <c r="C13" s="6" t="s">
        <v>120</v>
      </c>
      <c r="E13" s="9">
        <v>335</v>
      </c>
      <c r="F13" s="40"/>
      <c r="G13" s="6"/>
      <c r="H13"/>
      <c r="J13"/>
    </row>
    <row r="14" spans="1:10" x14ac:dyDescent="0.45">
      <c r="A14" s="9">
        <v>8430</v>
      </c>
      <c r="C14" s="6" t="s">
        <v>1</v>
      </c>
      <c r="E14" s="9">
        <v>326</v>
      </c>
      <c r="F14" s="40"/>
      <c r="G14" s="6"/>
      <c r="H14" s="41"/>
      <c r="J14"/>
    </row>
    <row r="15" spans="1:10" x14ac:dyDescent="0.45">
      <c r="A15" s="9">
        <v>8431</v>
      </c>
      <c r="C15" s="6" t="s">
        <v>19</v>
      </c>
      <c r="E15" s="9">
        <v>340</v>
      </c>
      <c r="F15" s="40"/>
      <c r="G15" s="6"/>
      <c r="H15" s="41"/>
    </row>
    <row r="16" spans="1:10" x14ac:dyDescent="0.45">
      <c r="A16" s="9">
        <v>8432</v>
      </c>
      <c r="C16" s="6" t="s">
        <v>121</v>
      </c>
      <c r="E16" s="9">
        <v>313</v>
      </c>
      <c r="F16" s="40"/>
      <c r="G16" s="6"/>
      <c r="H16" s="41"/>
    </row>
    <row r="17" spans="1:8" x14ac:dyDescent="0.45">
      <c r="A17" s="9">
        <v>8435</v>
      </c>
      <c r="C17" s="6" t="s">
        <v>15</v>
      </c>
      <c r="E17" s="9">
        <v>312</v>
      </c>
      <c r="F17" s="40"/>
      <c r="G17" s="6"/>
      <c r="H17" s="41"/>
    </row>
    <row r="18" spans="1:8" x14ac:dyDescent="0.45">
      <c r="A18" s="9">
        <v>8437</v>
      </c>
      <c r="C18" s="6" t="s">
        <v>122</v>
      </c>
      <c r="E18" s="9">
        <v>315</v>
      </c>
      <c r="F18" s="40"/>
      <c r="G18" s="6"/>
      <c r="H18" s="41"/>
    </row>
    <row r="19" spans="1:8" x14ac:dyDescent="0.45">
      <c r="A19" s="9">
        <v>8440</v>
      </c>
      <c r="C19" s="6" t="s">
        <v>123</v>
      </c>
      <c r="E19" s="9">
        <v>330</v>
      </c>
      <c r="F19" s="40"/>
      <c r="G19" s="6"/>
      <c r="H19" s="41"/>
    </row>
    <row r="20" spans="1:8" x14ac:dyDescent="0.45">
      <c r="A20" s="9">
        <v>8443</v>
      </c>
      <c r="C20" s="6" t="s">
        <v>124</v>
      </c>
      <c r="D20" s="9">
        <v>400</v>
      </c>
      <c r="E20" s="9">
        <v>352</v>
      </c>
      <c r="F20" s="40"/>
      <c r="G20" s="6"/>
      <c r="H20" s="41"/>
    </row>
    <row r="21" spans="1:8" x14ac:dyDescent="0.45">
      <c r="A21" s="9">
        <v>8444</v>
      </c>
      <c r="C21" s="6" t="s">
        <v>125</v>
      </c>
      <c r="E21" s="9">
        <v>304</v>
      </c>
      <c r="F21" s="40"/>
      <c r="G21" s="6"/>
      <c r="H21" s="41"/>
    </row>
    <row r="22" spans="1:8" x14ac:dyDescent="0.45">
      <c r="A22" s="9">
        <v>8445</v>
      </c>
      <c r="C22" s="6" t="s">
        <v>23</v>
      </c>
      <c r="E22" s="9">
        <v>340</v>
      </c>
      <c r="F22" s="40"/>
      <c r="G22" s="6"/>
      <c r="H22" s="41"/>
    </row>
    <row r="23" spans="1:8" x14ac:dyDescent="0.45">
      <c r="A23" s="9">
        <v>8446</v>
      </c>
      <c r="C23" s="6" t="s">
        <v>126</v>
      </c>
      <c r="E23" s="9">
        <v>310</v>
      </c>
      <c r="F23" s="40"/>
      <c r="G23" s="6"/>
      <c r="H23" s="41"/>
    </row>
    <row r="24" spans="1:8" x14ac:dyDescent="0.45">
      <c r="A24" s="9">
        <v>8447</v>
      </c>
      <c r="C24" s="6" t="s">
        <v>127</v>
      </c>
      <c r="E24" s="9">
        <v>350</v>
      </c>
      <c r="F24" s="40"/>
      <c r="G24" s="6"/>
      <c r="H24" s="41"/>
    </row>
    <row r="25" spans="1:8" x14ac:dyDescent="0.45">
      <c r="A25" s="9">
        <v>8450</v>
      </c>
      <c r="C25" s="6" t="s">
        <v>23</v>
      </c>
      <c r="D25" s="9">
        <v>420</v>
      </c>
      <c r="E25" s="9">
        <v>346</v>
      </c>
      <c r="F25" s="40"/>
      <c r="G25" s="6"/>
      <c r="H25" s="41"/>
    </row>
    <row r="26" spans="1:8" x14ac:dyDescent="0.45">
      <c r="A26" s="9">
        <v>8451</v>
      </c>
      <c r="C26" s="6" t="s">
        <v>127</v>
      </c>
      <c r="E26" s="9">
        <v>312</v>
      </c>
      <c r="F26" s="40"/>
      <c r="G26" s="6"/>
      <c r="H26" s="41"/>
    </row>
    <row r="27" spans="1:8" x14ac:dyDescent="0.45">
      <c r="A27" s="9">
        <v>8452</v>
      </c>
      <c r="C27" s="6" t="s">
        <v>23</v>
      </c>
      <c r="E27" s="9">
        <v>340</v>
      </c>
      <c r="F27" s="40"/>
      <c r="G27" s="6"/>
      <c r="H27" s="41"/>
    </row>
    <row r="28" spans="1:8" x14ac:dyDescent="0.45">
      <c r="A28" s="9">
        <v>8453</v>
      </c>
      <c r="C28" s="6" t="s">
        <v>23</v>
      </c>
      <c r="E28" s="9">
        <v>304</v>
      </c>
      <c r="F28" s="40"/>
      <c r="G28" s="6"/>
      <c r="H28" s="41"/>
    </row>
    <row r="29" spans="1:8" x14ac:dyDescent="0.45">
      <c r="A29" s="9">
        <v>8454</v>
      </c>
      <c r="C29" s="6" t="s">
        <v>24</v>
      </c>
      <c r="E29" s="9">
        <v>325</v>
      </c>
      <c r="F29" s="40"/>
      <c r="G29" s="6"/>
      <c r="H29" s="41"/>
    </row>
    <row r="30" spans="1:8" x14ac:dyDescent="0.45">
      <c r="A30" s="9">
        <v>8456</v>
      </c>
      <c r="C30" s="6" t="s">
        <v>128</v>
      </c>
      <c r="E30" s="9">
        <v>310</v>
      </c>
      <c r="F30" s="40"/>
      <c r="G30" s="6"/>
      <c r="H30" s="41"/>
    </row>
    <row r="31" spans="1:8" x14ac:dyDescent="0.45">
      <c r="A31" s="9">
        <v>8457</v>
      </c>
      <c r="C31" s="6" t="s">
        <v>129</v>
      </c>
      <c r="E31" s="9">
        <v>304</v>
      </c>
      <c r="F31" s="40"/>
      <c r="G31" s="6"/>
      <c r="H31" s="41"/>
    </row>
    <row r="32" spans="1:8" x14ac:dyDescent="0.45">
      <c r="A32" s="9">
        <v>8461</v>
      </c>
      <c r="C32" s="6" t="s">
        <v>130</v>
      </c>
      <c r="E32" s="9">
        <v>322</v>
      </c>
      <c r="F32" s="40"/>
      <c r="G32" s="6"/>
      <c r="H32" s="41"/>
    </row>
    <row r="33" spans="1:8" x14ac:dyDescent="0.45">
      <c r="A33" s="9">
        <v>8467</v>
      </c>
      <c r="C33" s="6" t="s">
        <v>131</v>
      </c>
      <c r="E33" s="9">
        <v>320</v>
      </c>
      <c r="F33" s="40"/>
      <c r="G33" s="6"/>
      <c r="H33" s="40"/>
    </row>
    <row r="34" spans="1:8" x14ac:dyDescent="0.45">
      <c r="A34" s="9">
        <v>8472</v>
      </c>
      <c r="C34" s="6" t="s">
        <v>23</v>
      </c>
      <c r="E34" s="9">
        <v>330</v>
      </c>
      <c r="F34" s="40"/>
      <c r="G34" s="6"/>
      <c r="H34" s="40"/>
    </row>
    <row r="35" spans="1:8" x14ac:dyDescent="0.45">
      <c r="A35" s="9">
        <v>8473</v>
      </c>
      <c r="C35" s="6" t="s">
        <v>23</v>
      </c>
      <c r="E35" s="9">
        <v>340</v>
      </c>
      <c r="F35" s="40"/>
      <c r="G35" s="6"/>
      <c r="H35" s="40"/>
    </row>
    <row r="36" spans="1:8" x14ac:dyDescent="0.45">
      <c r="A36" s="9">
        <v>8475</v>
      </c>
      <c r="C36" s="6" t="s">
        <v>16</v>
      </c>
      <c r="E36" s="9">
        <v>322</v>
      </c>
      <c r="F36" s="40"/>
      <c r="G36" s="6"/>
      <c r="H36" s="40"/>
    </row>
    <row r="37" spans="1:8" x14ac:dyDescent="0.45">
      <c r="A37" s="9">
        <v>849</v>
      </c>
      <c r="D37" s="9">
        <v>320</v>
      </c>
      <c r="F37" s="40"/>
      <c r="G37" s="6"/>
      <c r="H37" s="40"/>
    </row>
    <row r="38" spans="1:8" x14ac:dyDescent="0.45">
      <c r="F38" s="31"/>
      <c r="G38" s="31"/>
    </row>
    <row r="39" spans="1:8" x14ac:dyDescent="0.45">
      <c r="F39" s="31"/>
      <c r="G39" s="31"/>
    </row>
    <row r="40" spans="1:8" x14ac:dyDescent="0.45">
      <c r="F40" s="31"/>
      <c r="G40" s="31"/>
    </row>
    <row r="41" spans="1:8" x14ac:dyDescent="0.45">
      <c r="A41" s="31"/>
      <c r="B41" s="31"/>
      <c r="C41" s="32"/>
      <c r="D41" s="31"/>
      <c r="E41" s="31"/>
      <c r="F41" s="31"/>
      <c r="G41" s="31"/>
    </row>
    <row r="42" spans="1:8" x14ac:dyDescent="0.45">
      <c r="A42" s="31"/>
      <c r="B42" s="31"/>
      <c r="C42" s="32"/>
      <c r="D42" s="31"/>
      <c r="E42" s="31"/>
      <c r="F42" s="31"/>
      <c r="G42" s="31"/>
    </row>
    <row r="43" spans="1:8" x14ac:dyDescent="0.45">
      <c r="A43" s="31"/>
      <c r="B43" s="31"/>
      <c r="C43" s="32"/>
      <c r="D43" s="31"/>
      <c r="E43" s="31"/>
      <c r="F43" s="31"/>
      <c r="G43" s="31"/>
    </row>
    <row r="44" spans="1:8" x14ac:dyDescent="0.45">
      <c r="A44" s="31"/>
      <c r="B44" s="31"/>
      <c r="C44" s="32"/>
      <c r="D44" s="31"/>
      <c r="E44" s="31"/>
      <c r="F44" s="31"/>
      <c r="G44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>
    <tabColor rgb="FF92D050"/>
  </sheetPr>
  <dimension ref="A1:I28"/>
  <sheetViews>
    <sheetView workbookViewId="0">
      <pane ySplit="5" topLeftCell="A6" activePane="bottomLeft" state="frozen"/>
      <selection pane="bottomLeft" activeCell="B9" sqref="B9:D9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3" style="9" customWidth="1"/>
    <col min="5" max="6" width="10.453125" style="9" bestFit="1" customWidth="1"/>
    <col min="7" max="7" width="10.81640625" style="9"/>
    <col min="8" max="16384" width="10.81640625" style="6"/>
  </cols>
  <sheetData>
    <row r="1" spans="1:9" s="16" customFormat="1" ht="17.5" x14ac:dyDescent="0.35">
      <c r="A1" s="129" t="s">
        <v>358</v>
      </c>
      <c r="B1" s="129"/>
      <c r="C1" s="13" t="s">
        <v>114</v>
      </c>
      <c r="D1" s="14">
        <f>COUNT(D7:D20)</f>
        <v>3</v>
      </c>
      <c r="E1" s="14">
        <f>COUNT(E7:E20)</f>
        <v>0</v>
      </c>
      <c r="F1" s="14">
        <f>COUNT(F7:F20)</f>
        <v>0</v>
      </c>
      <c r="G1" s="60"/>
    </row>
    <row r="2" spans="1:9" s="16" customFormat="1" ht="11.5" customHeight="1" x14ac:dyDescent="0.35">
      <c r="A2" s="130" t="s">
        <v>359</v>
      </c>
      <c r="B2" s="130"/>
      <c r="C2" s="13" t="s">
        <v>109</v>
      </c>
      <c r="D2" s="14">
        <f>SUM(D7:D23)</f>
        <v>1310</v>
      </c>
      <c r="E2" s="14">
        <f>SUM(E7:E23)</f>
        <v>0</v>
      </c>
      <c r="F2" s="14">
        <f>SUM(F7:F23)</f>
        <v>0</v>
      </c>
      <c r="G2" s="61"/>
    </row>
    <row r="3" spans="1:9" s="16" customFormat="1" ht="11.5" customHeight="1" x14ac:dyDescent="0.35">
      <c r="A3" s="17"/>
      <c r="B3" s="17"/>
      <c r="C3" s="13" t="s">
        <v>108</v>
      </c>
      <c r="D3" s="14">
        <f>D2/COUNT(D7:D23)</f>
        <v>436.66666666666669</v>
      </c>
      <c r="E3" s="14" t="e">
        <f>E2/COUNT(E7:E23)</f>
        <v>#DIV/0!</v>
      </c>
      <c r="F3" s="14" t="e">
        <f>F2/COUNT(F7:F23)</f>
        <v>#DIV/0!</v>
      </c>
      <c r="G3" s="61"/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  <c r="G4" s="61"/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  <c r="G5" s="61"/>
    </row>
    <row r="6" spans="1:9" x14ac:dyDescent="0.45">
      <c r="A6" s="36" t="s">
        <v>182</v>
      </c>
      <c r="B6" s="36" t="s">
        <v>39</v>
      </c>
      <c r="C6" s="7" t="s">
        <v>0</v>
      </c>
      <c r="D6" s="28">
        <v>43628</v>
      </c>
      <c r="E6" s="28"/>
      <c r="F6" s="28"/>
      <c r="G6" s="3"/>
      <c r="I6"/>
    </row>
    <row r="7" spans="1:9" x14ac:dyDescent="0.45">
      <c r="A7" s="41"/>
      <c r="B7" s="41" t="s">
        <v>329</v>
      </c>
      <c r="C7" s="71"/>
      <c r="D7" s="41">
        <v>470</v>
      </c>
      <c r="E7" s="41"/>
      <c r="F7" s="41"/>
      <c r="G7" s="3"/>
      <c r="H7" s="48"/>
      <c r="I7"/>
    </row>
    <row r="8" spans="1:9" x14ac:dyDescent="0.45">
      <c r="A8" s="41">
        <v>160843</v>
      </c>
      <c r="B8" s="41" t="s">
        <v>447</v>
      </c>
      <c r="C8" s="71"/>
      <c r="D8" s="41">
        <v>470</v>
      </c>
      <c r="E8" s="41"/>
      <c r="F8" s="41"/>
      <c r="G8" s="3"/>
      <c r="H8" s="49"/>
      <c r="I8" s="49"/>
    </row>
    <row r="9" spans="1:9" x14ac:dyDescent="0.45">
      <c r="A9" s="41"/>
      <c r="E9" s="41"/>
      <c r="F9" s="41"/>
      <c r="G9" s="3"/>
      <c r="H9" s="48"/>
      <c r="I9" s="49"/>
    </row>
    <row r="10" spans="1:9" x14ac:dyDescent="0.45">
      <c r="A10" s="41"/>
      <c r="B10" s="41" t="s">
        <v>348</v>
      </c>
      <c r="C10" s="71"/>
      <c r="D10" s="41">
        <v>370</v>
      </c>
      <c r="E10" s="41"/>
      <c r="F10" s="41"/>
      <c r="G10" s="3"/>
    </row>
    <row r="11" spans="1:9" x14ac:dyDescent="0.45">
      <c r="F11" s="41"/>
      <c r="G11" s="3"/>
    </row>
    <row r="12" spans="1:9" x14ac:dyDescent="0.45">
      <c r="E12" s="41"/>
      <c r="F12" s="41"/>
      <c r="G12" s="3"/>
    </row>
    <row r="13" spans="1:9" x14ac:dyDescent="0.45">
      <c r="E13" s="41"/>
      <c r="F13" s="41"/>
      <c r="G13" s="3"/>
    </row>
    <row r="14" spans="1:9" x14ac:dyDescent="0.45">
      <c r="A14" s="41"/>
      <c r="F14" s="41"/>
      <c r="G14" s="3"/>
    </row>
    <row r="15" spans="1:9" x14ac:dyDescent="0.45">
      <c r="E15" s="41"/>
      <c r="F15" s="41"/>
      <c r="G15" s="3"/>
    </row>
    <row r="16" spans="1:9" x14ac:dyDescent="0.45">
      <c r="E16" s="41"/>
      <c r="F16" s="41"/>
      <c r="G16" s="3"/>
    </row>
    <row r="17" spans="1:7" x14ac:dyDescent="0.45">
      <c r="E17" s="41"/>
      <c r="F17" s="41"/>
      <c r="G17" s="3"/>
    </row>
    <row r="18" spans="1:7" x14ac:dyDescent="0.45">
      <c r="A18" s="41"/>
      <c r="E18" s="41"/>
      <c r="F18" s="41"/>
    </row>
    <row r="19" spans="1:7" x14ac:dyDescent="0.45">
      <c r="A19" s="41"/>
      <c r="B19" s="41"/>
      <c r="C19" s="71"/>
      <c r="D19" s="41"/>
      <c r="E19" s="41"/>
      <c r="F19" s="41"/>
    </row>
    <row r="20" spans="1:7" x14ac:dyDescent="0.45">
      <c r="A20" s="41"/>
      <c r="B20" s="41"/>
      <c r="C20" s="71"/>
      <c r="D20" s="41"/>
      <c r="E20" s="41"/>
      <c r="F20" s="41"/>
    </row>
    <row r="21" spans="1:7" x14ac:dyDescent="0.45">
      <c r="A21" s="41"/>
      <c r="B21" s="41"/>
      <c r="C21" s="71"/>
      <c r="D21" s="41"/>
      <c r="E21" s="41"/>
      <c r="F21" s="41"/>
    </row>
    <row r="22" spans="1:7" x14ac:dyDescent="0.45">
      <c r="A22" s="41"/>
      <c r="B22" s="41"/>
      <c r="C22" s="71"/>
      <c r="D22" s="41"/>
      <c r="E22" s="41"/>
      <c r="F22" s="41"/>
    </row>
    <row r="23" spans="1:7" x14ac:dyDescent="0.45">
      <c r="A23" s="41"/>
      <c r="B23" s="41"/>
      <c r="C23" s="71"/>
      <c r="D23" s="41"/>
      <c r="E23" s="41"/>
      <c r="F23" s="41"/>
    </row>
    <row r="24" spans="1:7" x14ac:dyDescent="0.45">
      <c r="A24" s="41"/>
      <c r="B24" s="41"/>
      <c r="C24" s="71"/>
      <c r="D24" s="41"/>
      <c r="E24" s="41"/>
      <c r="F24" s="41"/>
    </row>
    <row r="25" spans="1:7" x14ac:dyDescent="0.45">
      <c r="A25" s="41"/>
      <c r="B25" s="41"/>
      <c r="C25" s="71"/>
      <c r="D25" s="41"/>
      <c r="E25" s="41"/>
      <c r="F25" s="41"/>
    </row>
    <row r="26" spans="1:7" x14ac:dyDescent="0.45">
      <c r="A26" s="41"/>
      <c r="B26" s="41"/>
      <c r="C26" s="71"/>
      <c r="D26" s="41"/>
      <c r="E26" s="41"/>
      <c r="F26" s="41"/>
    </row>
    <row r="27" spans="1:7" x14ac:dyDescent="0.45">
      <c r="A27" s="41"/>
      <c r="B27" s="41"/>
      <c r="C27" s="71"/>
      <c r="D27" s="41"/>
      <c r="E27" s="41"/>
      <c r="F27" s="41"/>
    </row>
    <row r="28" spans="1:7" x14ac:dyDescent="0.45">
      <c r="A28" s="41"/>
      <c r="B28" s="41"/>
      <c r="C28" s="71"/>
      <c r="D28" s="41"/>
      <c r="E28" s="41"/>
      <c r="F28" s="4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7">
    <tabColor rgb="FF92D050"/>
  </sheetPr>
  <dimension ref="A1:K30"/>
  <sheetViews>
    <sheetView workbookViewId="0">
      <selection activeCell="A29" sqref="A29"/>
    </sheetView>
  </sheetViews>
  <sheetFormatPr defaultColWidth="10.81640625" defaultRowHeight="14.5" x14ac:dyDescent="0.35"/>
  <cols>
    <col min="1" max="1" width="11.1796875" style="3" bestFit="1" customWidth="1"/>
    <col min="2" max="2" width="15.26953125" bestFit="1" customWidth="1"/>
    <col min="3" max="4" width="15.26953125" customWidth="1"/>
    <col min="5" max="8" width="11" style="3" bestFit="1" customWidth="1"/>
    <col min="9" max="9" width="11" style="3" customWidth="1"/>
    <col min="10" max="10" width="10.81640625" style="3"/>
  </cols>
  <sheetData>
    <row r="1" spans="1:11" ht="11.5" customHeight="1" x14ac:dyDescent="0.35">
      <c r="A1" s="129" t="s">
        <v>443</v>
      </c>
      <c r="B1" s="129"/>
      <c r="C1" s="113"/>
      <c r="D1" s="14">
        <f>COUNT(D7:D30)</f>
        <v>23</v>
      </c>
      <c r="E1" s="14">
        <f>COUNT(E7:E36)</f>
        <v>18</v>
      </c>
      <c r="F1" s="14">
        <f>COUNT(F7:F36)</f>
        <v>18</v>
      </c>
      <c r="G1" s="14">
        <f>COUNT(G7:G36)</f>
        <v>18</v>
      </c>
      <c r="H1" s="14">
        <f>COUNT(H7:H30)</f>
        <v>23</v>
      </c>
      <c r="I1" s="14"/>
    </row>
    <row r="2" spans="1:11" ht="11.5" customHeight="1" x14ac:dyDescent="0.35">
      <c r="A2" s="12" t="s">
        <v>444</v>
      </c>
      <c r="B2" s="13" t="s">
        <v>109</v>
      </c>
      <c r="C2" s="13"/>
      <c r="D2" s="14">
        <f>SUM(D7:D30)</f>
        <v>9405</v>
      </c>
      <c r="E2" s="14">
        <f>SUM(E7:E25)</f>
        <v>5240</v>
      </c>
      <c r="F2" s="14">
        <f>SUM(F7:F39)</f>
        <v>5650</v>
      </c>
      <c r="G2" s="14">
        <f>SUM(G7:G39)</f>
        <v>6110</v>
      </c>
      <c r="H2" s="14">
        <f>SUM(H7:H25)</f>
        <v>7100</v>
      </c>
      <c r="I2" s="14"/>
    </row>
    <row r="3" spans="1:11" ht="11.5" customHeight="1" x14ac:dyDescent="0.35">
      <c r="A3" s="17"/>
      <c r="B3" s="13" t="s">
        <v>108</v>
      </c>
      <c r="C3" s="13"/>
      <c r="D3" s="14">
        <f>D2/COUNT(D6:D30)</f>
        <v>391.875</v>
      </c>
      <c r="E3" s="14">
        <f>E2/COUNT(E7:E25)</f>
        <v>291.11111111111109</v>
      </c>
      <c r="F3" s="14">
        <f>F2/COUNT(F7:F39)</f>
        <v>313.88888888888891</v>
      </c>
      <c r="G3" s="14">
        <f>G2/COUNT(G6:G39)</f>
        <v>321.57894736842104</v>
      </c>
      <c r="H3" s="14">
        <f>H2/COUNT(H6:H25)</f>
        <v>373.68421052631578</v>
      </c>
      <c r="I3" s="14"/>
    </row>
    <row r="4" spans="1:11" ht="11.5" customHeight="1" x14ac:dyDescent="0.35">
      <c r="A4" s="17"/>
      <c r="B4" s="13" t="s">
        <v>110</v>
      </c>
      <c r="C4" s="13"/>
      <c r="D4" s="18"/>
      <c r="E4" s="14"/>
      <c r="F4" s="18"/>
      <c r="G4" s="18"/>
      <c r="H4" s="18">
        <f>((H2-E2)/(H6-E6))/H1</f>
        <v>0.33007985803016859</v>
      </c>
      <c r="I4" s="18"/>
      <c r="J4" s="25"/>
    </row>
    <row r="5" spans="1:11" ht="11.5" customHeight="1" x14ac:dyDescent="0.35">
      <c r="A5" s="20"/>
      <c r="B5" s="21" t="s">
        <v>112</v>
      </c>
      <c r="C5" s="21"/>
      <c r="D5" s="30"/>
      <c r="E5" s="22"/>
      <c r="F5" s="23"/>
      <c r="G5" s="23"/>
      <c r="H5" s="30">
        <f>H4*30</f>
        <v>9.9023957409050585</v>
      </c>
      <c r="I5" s="30"/>
      <c r="J5" s="26"/>
    </row>
    <row r="6" spans="1:11" ht="16.5" x14ac:dyDescent="0.45">
      <c r="A6" s="29" t="s">
        <v>113</v>
      </c>
      <c r="B6" s="7" t="s">
        <v>0</v>
      </c>
      <c r="C6" s="28">
        <v>43788</v>
      </c>
      <c r="D6" s="28">
        <v>43679</v>
      </c>
      <c r="E6" s="28">
        <v>43364</v>
      </c>
      <c r="F6" s="28">
        <v>43488</v>
      </c>
      <c r="G6" s="28">
        <v>43537</v>
      </c>
      <c r="H6" s="28">
        <v>43609</v>
      </c>
      <c r="I6" s="28"/>
      <c r="J6" s="7" t="s">
        <v>441</v>
      </c>
      <c r="K6" s="1" t="s">
        <v>442</v>
      </c>
    </row>
    <row r="7" spans="1:11" ht="16.5" x14ac:dyDescent="0.45">
      <c r="A7" s="9">
        <v>8401</v>
      </c>
      <c r="B7" s="6" t="s">
        <v>19</v>
      </c>
      <c r="C7" s="6"/>
      <c r="D7" s="9">
        <v>433</v>
      </c>
      <c r="E7" s="9">
        <v>310</v>
      </c>
      <c r="F7" s="9">
        <v>340</v>
      </c>
      <c r="G7" s="9">
        <v>370</v>
      </c>
      <c r="H7" s="9">
        <v>420</v>
      </c>
      <c r="I7" s="9"/>
      <c r="J7" s="10">
        <v>13.469387755102041</v>
      </c>
      <c r="K7" s="4">
        <v>5.5714285714285712</v>
      </c>
    </row>
    <row r="8" spans="1:11" ht="16.5" x14ac:dyDescent="0.45">
      <c r="A8" s="9">
        <v>8402</v>
      </c>
      <c r="B8" s="6" t="s">
        <v>23</v>
      </c>
      <c r="C8" s="6"/>
      <c r="D8" s="9">
        <v>390</v>
      </c>
      <c r="E8" s="9">
        <v>290</v>
      </c>
      <c r="F8" s="9">
        <v>300</v>
      </c>
      <c r="G8" s="9">
        <v>310</v>
      </c>
      <c r="H8" s="9">
        <v>360</v>
      </c>
      <c r="I8" s="9"/>
      <c r="J8" s="10">
        <v>8.5714285714285712</v>
      </c>
      <c r="K8" s="4">
        <v>12.857142857142856</v>
      </c>
    </row>
    <row r="10" spans="1:11" ht="16.5" x14ac:dyDescent="0.45">
      <c r="A10" s="9">
        <v>8404</v>
      </c>
      <c r="B10" s="6" t="s">
        <v>23</v>
      </c>
      <c r="C10" s="6"/>
      <c r="D10" s="9">
        <v>410</v>
      </c>
      <c r="E10" s="9">
        <v>270</v>
      </c>
      <c r="F10" s="9">
        <v>300</v>
      </c>
      <c r="G10" s="9">
        <v>320</v>
      </c>
      <c r="H10" s="9">
        <v>380</v>
      </c>
      <c r="I10" s="9"/>
      <c r="J10" s="10">
        <v>13.469387755102041</v>
      </c>
      <c r="K10" s="4">
        <v>12.857142857142856</v>
      </c>
    </row>
    <row r="11" spans="1:11" ht="16.5" x14ac:dyDescent="0.45">
      <c r="A11" s="9">
        <v>8405</v>
      </c>
      <c r="B11" s="6" t="s">
        <v>23</v>
      </c>
      <c r="C11" s="6"/>
      <c r="D11" s="9">
        <v>388</v>
      </c>
      <c r="E11" s="9">
        <v>260</v>
      </c>
      <c r="F11" s="9">
        <v>280</v>
      </c>
      <c r="G11" s="9">
        <v>320</v>
      </c>
      <c r="H11" s="9">
        <v>370</v>
      </c>
      <c r="I11" s="9"/>
      <c r="J11" s="10">
        <v>13.469387755102041</v>
      </c>
      <c r="K11" s="4">
        <v>7.7142857142857135</v>
      </c>
    </row>
    <row r="12" spans="1:11" ht="16.5" x14ac:dyDescent="0.45">
      <c r="A12" s="9">
        <v>8406</v>
      </c>
      <c r="B12" s="6" t="s">
        <v>23</v>
      </c>
      <c r="C12" s="6"/>
      <c r="D12" s="9">
        <v>490</v>
      </c>
      <c r="E12" s="9">
        <v>340</v>
      </c>
      <c r="F12" s="9">
        <v>360</v>
      </c>
      <c r="G12" s="9">
        <v>400</v>
      </c>
      <c r="H12" s="9">
        <v>450</v>
      </c>
      <c r="I12" s="9"/>
      <c r="J12" s="10">
        <v>13.469387755102041</v>
      </c>
      <c r="K12" s="4">
        <v>17.142857142857142</v>
      </c>
    </row>
    <row r="13" spans="1:11" ht="16.5" x14ac:dyDescent="0.45">
      <c r="A13" s="9">
        <v>8407</v>
      </c>
      <c r="B13" s="6" t="s">
        <v>95</v>
      </c>
      <c r="C13" s="6"/>
      <c r="D13" s="9">
        <v>370</v>
      </c>
      <c r="E13" s="9">
        <v>270</v>
      </c>
      <c r="F13" s="9">
        <v>290</v>
      </c>
      <c r="G13" s="9">
        <v>310</v>
      </c>
      <c r="H13" s="9">
        <v>380</v>
      </c>
      <c r="I13" s="9"/>
      <c r="J13" s="10">
        <v>13.469387755102041</v>
      </c>
      <c r="K13" s="4">
        <v>-4.2857142857142856</v>
      </c>
    </row>
    <row r="14" spans="1:11" ht="16.5" x14ac:dyDescent="0.45">
      <c r="A14" s="9">
        <v>8408</v>
      </c>
      <c r="B14" s="6" t="s">
        <v>23</v>
      </c>
      <c r="C14" s="6"/>
      <c r="D14" s="9">
        <v>420</v>
      </c>
      <c r="E14" s="9">
        <v>280</v>
      </c>
      <c r="F14" s="9">
        <v>340</v>
      </c>
      <c r="G14" s="9">
        <v>370</v>
      </c>
      <c r="H14" s="9">
        <v>430</v>
      </c>
      <c r="I14" s="9"/>
      <c r="J14" s="10">
        <v>18.367346938775512</v>
      </c>
      <c r="K14" s="4">
        <v>-4.2857142857142856</v>
      </c>
    </row>
    <row r="15" spans="1:11" ht="16.5" x14ac:dyDescent="0.45">
      <c r="A15" s="9">
        <v>8409</v>
      </c>
      <c r="B15" s="6" t="s">
        <v>23</v>
      </c>
      <c r="C15" s="6"/>
      <c r="D15" s="9">
        <v>353</v>
      </c>
      <c r="E15" s="9">
        <v>250</v>
      </c>
      <c r="F15" s="9">
        <v>270</v>
      </c>
      <c r="G15" s="9">
        <v>290</v>
      </c>
      <c r="H15" s="9">
        <v>340</v>
      </c>
      <c r="I15" s="9"/>
      <c r="J15" s="10">
        <v>11.020408163265307</v>
      </c>
      <c r="K15" s="4">
        <v>5.5714285714285712</v>
      </c>
    </row>
    <row r="16" spans="1:11" ht="16.5" x14ac:dyDescent="0.45">
      <c r="A16" s="9">
        <v>8410</v>
      </c>
      <c r="B16" s="6" t="s">
        <v>23</v>
      </c>
      <c r="C16" s="6"/>
      <c r="D16" s="9">
        <v>415</v>
      </c>
      <c r="E16" s="9">
        <v>280</v>
      </c>
      <c r="F16" s="9">
        <v>300</v>
      </c>
      <c r="G16" s="9">
        <v>330</v>
      </c>
      <c r="H16" s="9">
        <v>380</v>
      </c>
      <c r="I16" s="9"/>
      <c r="J16" s="10">
        <v>12.244897959183675</v>
      </c>
      <c r="K16" s="4">
        <v>15</v>
      </c>
    </row>
    <row r="17" spans="1:11" ht="16.5" x14ac:dyDescent="0.45">
      <c r="A17" s="9">
        <v>8411</v>
      </c>
      <c r="B17" s="6" t="s">
        <v>23</v>
      </c>
      <c r="C17" s="6"/>
      <c r="D17" s="9">
        <v>443</v>
      </c>
      <c r="E17" s="9">
        <v>310</v>
      </c>
      <c r="F17" s="9">
        <v>320</v>
      </c>
      <c r="G17" s="9">
        <v>350</v>
      </c>
      <c r="H17" s="9">
        <v>410</v>
      </c>
      <c r="I17" s="9"/>
      <c r="J17" s="10">
        <v>12.244897959183675</v>
      </c>
      <c r="K17" s="4">
        <v>14.142857142857142</v>
      </c>
    </row>
    <row r="18" spans="1:11" ht="16.5" x14ac:dyDescent="0.45">
      <c r="A18" s="9">
        <v>8412</v>
      </c>
      <c r="B18" s="6" t="s">
        <v>23</v>
      </c>
      <c r="C18" s="6"/>
      <c r="D18" s="9">
        <v>369</v>
      </c>
      <c r="E18" s="9">
        <v>300</v>
      </c>
      <c r="F18" s="9">
        <v>290</v>
      </c>
      <c r="G18" s="9">
        <v>320</v>
      </c>
      <c r="H18" s="9">
        <v>350</v>
      </c>
      <c r="I18" s="9"/>
      <c r="J18" s="10">
        <v>6.1224489795918373</v>
      </c>
      <c r="K18" s="4">
        <v>8.1428571428571423</v>
      </c>
    </row>
    <row r="19" spans="1:11" ht="16.5" x14ac:dyDescent="0.45">
      <c r="A19" s="9">
        <v>8413</v>
      </c>
      <c r="B19" s="6" t="s">
        <v>23</v>
      </c>
      <c r="C19" s="6"/>
      <c r="D19" s="9">
        <v>415</v>
      </c>
      <c r="E19" s="9">
        <v>290</v>
      </c>
      <c r="F19" s="9">
        <v>320</v>
      </c>
      <c r="G19" s="9">
        <v>340</v>
      </c>
      <c r="H19" s="9">
        <v>400</v>
      </c>
      <c r="I19" s="9"/>
      <c r="J19" s="10">
        <v>13.469387755102041</v>
      </c>
      <c r="K19" s="4">
        <v>6.4285714285714279</v>
      </c>
    </row>
    <row r="20" spans="1:11" ht="16.5" x14ac:dyDescent="0.45">
      <c r="A20" s="9">
        <v>8414</v>
      </c>
      <c r="B20" s="6" t="s">
        <v>23</v>
      </c>
      <c r="C20" s="6"/>
      <c r="D20" s="9">
        <v>393</v>
      </c>
      <c r="E20" s="9">
        <v>280</v>
      </c>
      <c r="F20" s="9">
        <v>300</v>
      </c>
      <c r="G20" s="9">
        <v>340</v>
      </c>
      <c r="H20" s="9">
        <v>380</v>
      </c>
      <c r="I20" s="9"/>
      <c r="J20" s="10">
        <v>12.244897959183675</v>
      </c>
      <c r="K20" s="4">
        <v>5.5714285714285712</v>
      </c>
    </row>
    <row r="21" spans="1:11" ht="16.5" x14ac:dyDescent="0.45">
      <c r="A21" s="9">
        <v>8415</v>
      </c>
      <c r="B21" s="6" t="s">
        <v>23</v>
      </c>
      <c r="C21" s="6"/>
      <c r="D21" s="9">
        <v>457</v>
      </c>
      <c r="E21" s="9">
        <v>330</v>
      </c>
      <c r="F21" s="9">
        <v>370</v>
      </c>
      <c r="G21" s="9">
        <v>390</v>
      </c>
      <c r="H21" s="9">
        <v>460</v>
      </c>
      <c r="I21" s="9"/>
      <c r="J21" s="10">
        <v>15.918367346938776</v>
      </c>
      <c r="K21" s="4">
        <v>-1.2857142857142858</v>
      </c>
    </row>
    <row r="22" spans="1:11" ht="16.5" x14ac:dyDescent="0.45">
      <c r="A22" s="9">
        <v>8416</v>
      </c>
      <c r="B22" s="6" t="s">
        <v>23</v>
      </c>
      <c r="C22" s="6"/>
      <c r="D22" s="9">
        <v>415</v>
      </c>
      <c r="E22" s="9">
        <v>340</v>
      </c>
      <c r="F22" s="9">
        <v>360</v>
      </c>
      <c r="G22" s="9">
        <v>360</v>
      </c>
      <c r="H22" s="9">
        <v>430</v>
      </c>
      <c r="I22" s="9"/>
      <c r="J22" s="10">
        <v>11.020408163265307</v>
      </c>
      <c r="K22" s="4">
        <v>-6.4285714285714279</v>
      </c>
    </row>
    <row r="23" spans="1:11" ht="16.5" x14ac:dyDescent="0.45">
      <c r="A23" s="9">
        <v>8417</v>
      </c>
      <c r="B23" s="6" t="s">
        <v>23</v>
      </c>
      <c r="C23" s="6"/>
      <c r="D23" s="9">
        <v>390</v>
      </c>
      <c r="E23" s="9">
        <v>270</v>
      </c>
      <c r="F23" s="9">
        <v>300</v>
      </c>
      <c r="G23" s="9">
        <v>330</v>
      </c>
      <c r="H23" s="9">
        <v>380</v>
      </c>
      <c r="I23" s="9"/>
      <c r="J23" s="10">
        <v>13.469387755102041</v>
      </c>
      <c r="K23" s="4">
        <v>4.2857142857142856</v>
      </c>
    </row>
    <row r="24" spans="1:11" ht="16.5" x14ac:dyDescent="0.45">
      <c r="A24" s="9">
        <v>8418</v>
      </c>
      <c r="B24" s="6" t="s">
        <v>23</v>
      </c>
      <c r="C24" s="6"/>
      <c r="D24" s="9">
        <v>383</v>
      </c>
      <c r="E24" s="9">
        <v>260</v>
      </c>
      <c r="F24" s="9">
        <v>270</v>
      </c>
      <c r="G24" s="9">
        <v>300</v>
      </c>
      <c r="H24" s="9">
        <v>360</v>
      </c>
      <c r="I24" s="9"/>
      <c r="J24" s="10">
        <v>12.244897959183675</v>
      </c>
      <c r="K24" s="4">
        <v>9.8571428571428577</v>
      </c>
    </row>
    <row r="25" spans="1:11" ht="16.5" x14ac:dyDescent="0.45">
      <c r="A25" s="9">
        <v>8419</v>
      </c>
      <c r="B25" s="6" t="s">
        <v>23</v>
      </c>
      <c r="C25" s="6"/>
      <c r="D25" s="9">
        <v>446</v>
      </c>
      <c r="E25" s="9">
        <v>310</v>
      </c>
      <c r="F25" s="9">
        <v>340</v>
      </c>
      <c r="G25" s="9">
        <v>360</v>
      </c>
      <c r="H25" s="9">
        <v>420</v>
      </c>
      <c r="I25" s="9"/>
      <c r="J25" s="10">
        <v>13.469387755102041</v>
      </c>
      <c r="K25" s="4">
        <v>11.142857142857142</v>
      </c>
    </row>
    <row r="26" spans="1:11" ht="16.5" x14ac:dyDescent="0.45">
      <c r="A26" s="11">
        <v>8481</v>
      </c>
      <c r="B26" s="6" t="s">
        <v>96</v>
      </c>
      <c r="C26" s="6"/>
      <c r="D26" s="11">
        <v>400</v>
      </c>
      <c r="E26" s="9"/>
      <c r="F26" s="9"/>
      <c r="G26" s="9"/>
      <c r="H26" s="11">
        <v>380</v>
      </c>
      <c r="I26" s="11"/>
      <c r="J26" s="10"/>
      <c r="K26" s="4">
        <v>8.5714285714285712</v>
      </c>
    </row>
    <row r="27" spans="1:11" ht="16.5" x14ac:dyDescent="0.45">
      <c r="A27" s="11">
        <v>8482</v>
      </c>
      <c r="B27" s="6" t="s">
        <v>97</v>
      </c>
      <c r="C27" s="6"/>
      <c r="D27" s="11">
        <v>430</v>
      </c>
      <c r="E27" s="9"/>
      <c r="F27" s="9"/>
      <c r="G27" s="9"/>
      <c r="H27" s="11">
        <v>420</v>
      </c>
      <c r="I27" s="11"/>
      <c r="J27" s="10"/>
      <c r="K27" s="4">
        <v>4.2857142857142856</v>
      </c>
    </row>
    <row r="28" spans="1:11" ht="16.5" x14ac:dyDescent="0.45">
      <c r="A28" s="11">
        <v>8488</v>
      </c>
      <c r="B28" s="6" t="s">
        <v>98</v>
      </c>
      <c r="C28" s="6"/>
      <c r="D28" s="11">
        <v>385</v>
      </c>
      <c r="E28" s="9"/>
      <c r="F28" s="9"/>
      <c r="G28" s="9"/>
      <c r="H28" s="11">
        <v>390</v>
      </c>
      <c r="I28" s="11"/>
      <c r="J28" s="10"/>
      <c r="K28" s="4">
        <v>-2.1428571428571428</v>
      </c>
    </row>
    <row r="29" spans="1:11" ht="16.5" x14ac:dyDescent="0.45">
      <c r="A29" s="11">
        <v>8495</v>
      </c>
      <c r="B29" s="6" t="s">
        <v>99</v>
      </c>
      <c r="C29" s="6"/>
      <c r="D29" s="11">
        <v>400</v>
      </c>
      <c r="E29" s="9"/>
      <c r="F29" s="9"/>
      <c r="G29" s="9"/>
      <c r="H29" s="11">
        <v>380</v>
      </c>
      <c r="I29" s="11"/>
      <c r="J29" s="10"/>
      <c r="K29" s="4">
        <v>8.5714285714285712</v>
      </c>
    </row>
    <row r="30" spans="1:11" ht="16.5" x14ac:dyDescent="0.45">
      <c r="A30" s="11">
        <v>84102</v>
      </c>
      <c r="B30" s="6" t="s">
        <v>100</v>
      </c>
      <c r="C30" s="6"/>
      <c r="D30" s="11">
        <v>410</v>
      </c>
      <c r="E30" s="9"/>
      <c r="F30" s="9"/>
      <c r="G30" s="9"/>
      <c r="H30" s="11">
        <v>400</v>
      </c>
      <c r="I30" s="11"/>
      <c r="J30" s="10"/>
      <c r="K30" s="4">
        <v>4.2857142857142856</v>
      </c>
    </row>
  </sheetData>
  <mergeCells count="1">
    <mergeCell ref="A1:B1"/>
  </mergeCells>
  <conditionalFormatting sqref="J7:J8 J10:J25">
    <cfRule type="cellIs" dxfId="3" priority="2" operator="lessThan">
      <formula>0.416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>
    <tabColor rgb="FF92D050"/>
  </sheetPr>
  <dimension ref="A1:J54"/>
  <sheetViews>
    <sheetView workbookViewId="0">
      <pane ySplit="6" topLeftCell="A15" activePane="bottomLeft" state="frozen"/>
      <selection pane="bottomLeft" activeCell="A22" sqref="A22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5" width="15.26953125" style="6" customWidth="1"/>
    <col min="6" max="6" width="13" style="9" customWidth="1"/>
    <col min="7" max="7" width="10.453125" style="9" bestFit="1" customWidth="1"/>
    <col min="8" max="8" width="12" style="9" bestFit="1" customWidth="1"/>
    <col min="9" max="16384" width="10.81640625" style="6"/>
  </cols>
  <sheetData>
    <row r="1" spans="1:10" s="16" customFormat="1" ht="17.5" x14ac:dyDescent="0.35">
      <c r="A1" s="129" t="s">
        <v>389</v>
      </c>
      <c r="B1" s="129"/>
      <c r="C1" s="13" t="s">
        <v>114</v>
      </c>
      <c r="D1" s="13"/>
      <c r="E1" s="14">
        <f>COUNT(E7:E54)</f>
        <v>48</v>
      </c>
      <c r="F1" s="14">
        <f>COUNT(F7:F37)</f>
        <v>31</v>
      </c>
      <c r="G1" s="14"/>
      <c r="H1" s="14"/>
      <c r="I1" s="45"/>
    </row>
    <row r="2" spans="1:10" s="16" customFormat="1" ht="11.5" customHeight="1" x14ac:dyDescent="0.35">
      <c r="A2" s="130" t="s">
        <v>184</v>
      </c>
      <c r="B2" s="130"/>
      <c r="C2" s="13" t="s">
        <v>109</v>
      </c>
      <c r="D2" s="13"/>
      <c r="E2" s="14">
        <f>SUM(E7:E54)</f>
        <v>20368</v>
      </c>
      <c r="F2" s="14">
        <f>SUM(F7:F40)</f>
        <v>12840</v>
      </c>
      <c r="G2" s="14"/>
      <c r="H2" s="14"/>
    </row>
    <row r="3" spans="1:10" s="16" customFormat="1" ht="11.5" customHeight="1" x14ac:dyDescent="0.35">
      <c r="A3" s="17"/>
      <c r="B3" s="17"/>
      <c r="C3" s="13" t="s">
        <v>108</v>
      </c>
      <c r="D3" s="13"/>
      <c r="E3" s="14">
        <f>E2/COUNT(E7:E54)</f>
        <v>424.33333333333331</v>
      </c>
      <c r="F3" s="14">
        <f>F2/COUNT(F7:F40)</f>
        <v>377.64705882352939</v>
      </c>
      <c r="G3" s="14"/>
      <c r="H3" s="14"/>
    </row>
    <row r="4" spans="1:10" s="16" customFormat="1" ht="11.5" customHeight="1" x14ac:dyDescent="0.35">
      <c r="A4" s="17"/>
      <c r="B4" s="17"/>
      <c r="C4" s="13" t="s">
        <v>110</v>
      </c>
      <c r="D4" s="13"/>
      <c r="E4" s="18"/>
      <c r="F4" s="14"/>
      <c r="G4" s="18"/>
      <c r="H4" s="18"/>
    </row>
    <row r="5" spans="1:10" s="16" customFormat="1" ht="11.5" customHeight="1" x14ac:dyDescent="0.35">
      <c r="A5" s="20"/>
      <c r="B5" s="20"/>
      <c r="C5" s="21" t="s">
        <v>112</v>
      </c>
      <c r="D5" s="21"/>
      <c r="E5" s="23"/>
      <c r="F5" s="22"/>
      <c r="G5" s="23"/>
      <c r="H5" s="30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43745</v>
      </c>
      <c r="E6" s="28">
        <v>43693</v>
      </c>
      <c r="F6" s="28">
        <v>43628</v>
      </c>
      <c r="G6" s="28"/>
      <c r="H6" s="28"/>
      <c r="I6"/>
    </row>
    <row r="7" spans="1:10" x14ac:dyDescent="0.45">
      <c r="A7" s="3"/>
      <c r="B7" s="3" t="s">
        <v>189</v>
      </c>
      <c r="C7" t="s">
        <v>9</v>
      </c>
      <c r="D7"/>
      <c r="E7" s="33">
        <v>435</v>
      </c>
      <c r="F7" s="3">
        <v>360</v>
      </c>
      <c r="G7" s="3"/>
      <c r="H7" s="3"/>
      <c r="I7"/>
      <c r="J7" s="49"/>
    </row>
    <row r="8" spans="1:10" x14ac:dyDescent="0.45">
      <c r="A8" s="3">
        <v>170517</v>
      </c>
      <c r="B8" s="3" t="s">
        <v>190</v>
      </c>
      <c r="C8" t="s">
        <v>18</v>
      </c>
      <c r="D8"/>
      <c r="E8" s="3">
        <v>338</v>
      </c>
      <c r="F8" s="3">
        <v>320</v>
      </c>
      <c r="G8" s="3"/>
      <c r="H8" s="105"/>
      <c r="I8"/>
      <c r="J8" s="49"/>
    </row>
    <row r="9" spans="1:10" x14ac:dyDescent="0.45">
      <c r="A9" s="3">
        <v>160728</v>
      </c>
      <c r="B9" s="3" t="s">
        <v>191</v>
      </c>
      <c r="C9" t="s">
        <v>192</v>
      </c>
      <c r="D9"/>
      <c r="E9" s="3">
        <v>390</v>
      </c>
      <c r="F9" s="3">
        <v>380</v>
      </c>
      <c r="G9" s="3"/>
      <c r="H9" s="105"/>
      <c r="I9"/>
      <c r="J9" s="48"/>
    </row>
    <row r="10" spans="1:10" x14ac:dyDescent="0.45">
      <c r="A10" s="3">
        <v>170414</v>
      </c>
      <c r="B10" s="3" t="s">
        <v>193</v>
      </c>
      <c r="C10" t="s">
        <v>9</v>
      </c>
      <c r="D10"/>
      <c r="E10" s="3">
        <v>423</v>
      </c>
      <c r="F10" s="3">
        <v>390</v>
      </c>
      <c r="G10" s="3"/>
      <c r="H10" s="105"/>
      <c r="I10"/>
      <c r="J10" s="48"/>
    </row>
    <row r="11" spans="1:10" x14ac:dyDescent="0.45">
      <c r="A11" s="3"/>
      <c r="B11" s="3" t="s">
        <v>194</v>
      </c>
      <c r="C11" t="s">
        <v>126</v>
      </c>
      <c r="D11"/>
      <c r="E11" s="33">
        <v>435</v>
      </c>
      <c r="F11" s="3">
        <v>420</v>
      </c>
      <c r="G11" s="3"/>
      <c r="H11" s="105"/>
      <c r="I11"/>
      <c r="J11" s="48"/>
    </row>
    <row r="12" spans="1:10" x14ac:dyDescent="0.45">
      <c r="A12" s="3">
        <v>170305</v>
      </c>
      <c r="B12" s="3" t="s">
        <v>195</v>
      </c>
      <c r="C12" t="s">
        <v>9</v>
      </c>
      <c r="D12"/>
      <c r="E12" s="3">
        <v>370</v>
      </c>
      <c r="F12" s="3">
        <v>320</v>
      </c>
      <c r="G12" s="3"/>
      <c r="H12" s="105"/>
      <c r="I12"/>
      <c r="J12" s="48"/>
    </row>
    <row r="13" spans="1:10" x14ac:dyDescent="0.45">
      <c r="A13" s="3"/>
      <c r="B13" s="3" t="s">
        <v>196</v>
      </c>
      <c r="C13" t="s">
        <v>197</v>
      </c>
      <c r="D13"/>
      <c r="E13" s="33">
        <v>435</v>
      </c>
      <c r="F13" s="3">
        <v>380</v>
      </c>
      <c r="G13" s="3"/>
      <c r="H13" s="105"/>
      <c r="J13" s="48"/>
    </row>
    <row r="14" spans="1:10" x14ac:dyDescent="0.45">
      <c r="A14" s="3"/>
      <c r="B14" s="3" t="s">
        <v>198</v>
      </c>
      <c r="C14" t="s">
        <v>9</v>
      </c>
      <c r="D14"/>
      <c r="E14" s="33">
        <v>435</v>
      </c>
      <c r="F14" s="3">
        <v>360</v>
      </c>
      <c r="G14" s="3"/>
      <c r="H14" s="105"/>
      <c r="J14" s="49"/>
    </row>
    <row r="15" spans="1:10" x14ac:dyDescent="0.45">
      <c r="A15" s="3"/>
      <c r="B15" s="3" t="s">
        <v>446</v>
      </c>
      <c r="C15" t="s">
        <v>15</v>
      </c>
      <c r="D15"/>
      <c r="E15" s="3">
        <v>383</v>
      </c>
      <c r="F15" s="3">
        <v>350</v>
      </c>
      <c r="G15" s="3"/>
      <c r="H15" s="105"/>
      <c r="I15" s="50"/>
      <c r="J15" s="49"/>
    </row>
    <row r="16" spans="1:10" x14ac:dyDescent="0.45">
      <c r="A16" s="3">
        <v>160847</v>
      </c>
      <c r="B16" s="3" t="s">
        <v>199</v>
      </c>
      <c r="C16" t="s">
        <v>18</v>
      </c>
      <c r="D16"/>
      <c r="E16" s="3">
        <v>420</v>
      </c>
      <c r="F16" s="3">
        <v>400</v>
      </c>
      <c r="G16" s="3"/>
      <c r="H16" s="105"/>
      <c r="I16" s="50"/>
      <c r="J16" s="49"/>
    </row>
    <row r="17" spans="1:10" x14ac:dyDescent="0.45">
      <c r="A17" s="3"/>
      <c r="B17" s="3" t="s">
        <v>200</v>
      </c>
      <c r="C17" t="s">
        <v>23</v>
      </c>
      <c r="D17"/>
      <c r="E17" s="3">
        <v>357</v>
      </c>
      <c r="F17" s="3">
        <v>340</v>
      </c>
      <c r="G17" s="3"/>
      <c r="H17" s="105"/>
      <c r="I17" s="50"/>
      <c r="J17" s="49"/>
    </row>
    <row r="18" spans="1:10" x14ac:dyDescent="0.45">
      <c r="A18" s="3">
        <v>170616</v>
      </c>
      <c r="B18" s="3" t="s">
        <v>201</v>
      </c>
      <c r="C18" t="s">
        <v>197</v>
      </c>
      <c r="D18"/>
      <c r="E18" s="3">
        <v>400</v>
      </c>
      <c r="F18" s="3">
        <v>370</v>
      </c>
      <c r="G18" s="3"/>
      <c r="H18" s="105"/>
      <c r="I18" s="50"/>
      <c r="J18" s="49"/>
    </row>
    <row r="19" spans="1:10" x14ac:dyDescent="0.45">
      <c r="A19" s="3">
        <v>160703</v>
      </c>
      <c r="B19" s="3" t="s">
        <v>202</v>
      </c>
      <c r="C19" t="s">
        <v>203</v>
      </c>
      <c r="D19"/>
      <c r="E19" s="3">
        <v>435</v>
      </c>
      <c r="F19" s="3">
        <v>420</v>
      </c>
      <c r="G19" s="3"/>
      <c r="H19" s="105"/>
      <c r="I19" s="50"/>
      <c r="J19" s="49"/>
    </row>
    <row r="20" spans="1:10" x14ac:dyDescent="0.45">
      <c r="A20" s="3">
        <v>170208</v>
      </c>
      <c r="B20" s="3" t="s">
        <v>204</v>
      </c>
      <c r="C20" t="s">
        <v>17</v>
      </c>
      <c r="D20"/>
      <c r="E20" s="3">
        <v>455</v>
      </c>
      <c r="F20" s="3">
        <v>410</v>
      </c>
      <c r="G20" s="3"/>
      <c r="H20" s="105"/>
      <c r="I20" s="50"/>
      <c r="J20" s="49"/>
    </row>
    <row r="21" spans="1:10" x14ac:dyDescent="0.45">
      <c r="A21" s="3"/>
      <c r="B21" s="3" t="s">
        <v>205</v>
      </c>
      <c r="C21" t="s">
        <v>197</v>
      </c>
      <c r="D21"/>
      <c r="E21" s="3">
        <v>403</v>
      </c>
      <c r="F21" s="3">
        <v>360</v>
      </c>
      <c r="G21" s="3"/>
      <c r="H21" s="105"/>
      <c r="I21" s="50"/>
      <c r="J21" s="49"/>
    </row>
    <row r="22" spans="1:10" x14ac:dyDescent="0.45">
      <c r="A22" s="3">
        <v>170118</v>
      </c>
      <c r="B22" s="3" t="s">
        <v>206</v>
      </c>
      <c r="C22" t="s">
        <v>23</v>
      </c>
      <c r="D22"/>
      <c r="E22" s="33">
        <v>435</v>
      </c>
      <c r="F22" s="3">
        <v>330</v>
      </c>
      <c r="G22" s="3"/>
      <c r="H22" s="105"/>
      <c r="I22" s="50"/>
      <c r="J22" s="49"/>
    </row>
    <row r="23" spans="1:10" x14ac:dyDescent="0.45">
      <c r="A23" s="3"/>
      <c r="B23" s="3" t="s">
        <v>207</v>
      </c>
      <c r="C23" t="s">
        <v>9</v>
      </c>
      <c r="D23"/>
      <c r="E23" s="3">
        <v>370</v>
      </c>
      <c r="F23" s="3">
        <v>310</v>
      </c>
      <c r="G23" s="3"/>
      <c r="H23" s="105"/>
      <c r="I23" s="50"/>
      <c r="J23" s="49"/>
    </row>
    <row r="24" spans="1:10" x14ac:dyDescent="0.45">
      <c r="A24" s="3">
        <v>161011</v>
      </c>
      <c r="B24" s="3" t="s">
        <v>208</v>
      </c>
      <c r="C24" t="s">
        <v>9</v>
      </c>
      <c r="D24"/>
      <c r="E24" s="3">
        <v>437</v>
      </c>
      <c r="F24" s="3">
        <v>420</v>
      </c>
      <c r="G24" s="3"/>
      <c r="H24" s="105"/>
      <c r="I24" s="50"/>
      <c r="J24" s="49"/>
    </row>
    <row r="25" spans="1:10" x14ac:dyDescent="0.45">
      <c r="A25" s="3">
        <v>170314</v>
      </c>
      <c r="B25" s="3" t="s">
        <v>209</v>
      </c>
      <c r="C25" t="s">
        <v>128</v>
      </c>
      <c r="D25"/>
      <c r="E25" s="33">
        <v>435</v>
      </c>
      <c r="F25" s="3">
        <v>370</v>
      </c>
      <c r="G25" s="3"/>
      <c r="H25" s="105"/>
      <c r="I25" s="50"/>
      <c r="J25" s="49"/>
    </row>
    <row r="26" spans="1:10" x14ac:dyDescent="0.45">
      <c r="A26" s="3">
        <v>160827</v>
      </c>
      <c r="B26" s="3" t="s">
        <v>210</v>
      </c>
      <c r="C26" t="s">
        <v>128</v>
      </c>
      <c r="D26"/>
      <c r="E26" s="3">
        <v>413</v>
      </c>
      <c r="F26" s="3">
        <v>370</v>
      </c>
      <c r="G26" s="3"/>
      <c r="H26" s="105"/>
      <c r="I26" s="48"/>
      <c r="J26" s="49"/>
    </row>
    <row r="27" spans="1:10" x14ac:dyDescent="0.45">
      <c r="A27" s="3">
        <v>160904</v>
      </c>
      <c r="B27" s="3" t="s">
        <v>211</v>
      </c>
      <c r="C27" t="s">
        <v>9</v>
      </c>
      <c r="D27"/>
      <c r="E27" s="3">
        <v>430</v>
      </c>
      <c r="F27" s="3">
        <v>400</v>
      </c>
      <c r="G27" s="3"/>
      <c r="H27" s="105"/>
    </row>
    <row r="28" spans="1:10" x14ac:dyDescent="0.45">
      <c r="A28" s="3">
        <v>160515</v>
      </c>
      <c r="B28" s="3" t="s">
        <v>212</v>
      </c>
      <c r="C28" t="s">
        <v>192</v>
      </c>
      <c r="D28"/>
      <c r="E28" s="3">
        <v>420</v>
      </c>
      <c r="F28" s="3">
        <v>400</v>
      </c>
      <c r="G28" s="3"/>
      <c r="H28" s="105"/>
      <c r="I28" s="41"/>
    </row>
    <row r="29" spans="1:10" x14ac:dyDescent="0.45">
      <c r="A29" s="3">
        <v>161222</v>
      </c>
      <c r="B29" s="3" t="s">
        <v>213</v>
      </c>
      <c r="C29" t="s">
        <v>23</v>
      </c>
      <c r="D29"/>
      <c r="E29" s="3">
        <v>368</v>
      </c>
      <c r="F29" s="3">
        <v>350</v>
      </c>
      <c r="G29" s="3"/>
      <c r="H29" s="105"/>
      <c r="I29" s="41"/>
    </row>
    <row r="30" spans="1:10" x14ac:dyDescent="0.45">
      <c r="A30" s="3">
        <v>160705</v>
      </c>
      <c r="B30" s="3" t="s">
        <v>214</v>
      </c>
      <c r="C30" t="s">
        <v>215</v>
      </c>
      <c r="D30"/>
      <c r="E30" s="3">
        <v>388</v>
      </c>
      <c r="F30" s="3">
        <v>350</v>
      </c>
      <c r="G30" s="3"/>
      <c r="H30" s="105"/>
      <c r="I30" s="41"/>
    </row>
    <row r="31" spans="1:10" x14ac:dyDescent="0.45">
      <c r="A31" s="3">
        <v>160816</v>
      </c>
      <c r="B31" s="3" t="s">
        <v>216</v>
      </c>
      <c r="C31" t="s">
        <v>9</v>
      </c>
      <c r="D31"/>
      <c r="E31" s="3">
        <v>405</v>
      </c>
      <c r="F31" s="3">
        <v>400</v>
      </c>
      <c r="G31" s="3"/>
      <c r="H31" s="105"/>
      <c r="I31" s="41"/>
    </row>
    <row r="32" spans="1:10" x14ac:dyDescent="0.45">
      <c r="A32" s="3">
        <v>160848</v>
      </c>
      <c r="B32" s="3" t="s">
        <v>217</v>
      </c>
      <c r="C32" t="s">
        <v>9</v>
      </c>
      <c r="D32"/>
      <c r="E32" s="99">
        <v>400</v>
      </c>
      <c r="F32" s="3">
        <v>380</v>
      </c>
      <c r="G32" s="99"/>
      <c r="H32" s="105"/>
      <c r="I32" s="40"/>
    </row>
    <row r="33" spans="1:9" x14ac:dyDescent="0.45">
      <c r="A33" s="3">
        <v>170102</v>
      </c>
      <c r="B33" s="3" t="s">
        <v>218</v>
      </c>
      <c r="C33" t="s">
        <v>16</v>
      </c>
      <c r="D33"/>
      <c r="E33" s="3">
        <v>450</v>
      </c>
      <c r="F33" s="3">
        <v>400</v>
      </c>
      <c r="G33" s="3"/>
      <c r="H33" s="105"/>
      <c r="I33" s="40"/>
    </row>
    <row r="34" spans="1:9" x14ac:dyDescent="0.45">
      <c r="A34" s="3">
        <v>161016</v>
      </c>
      <c r="B34" s="3" t="s">
        <v>219</v>
      </c>
      <c r="C34" t="s">
        <v>26</v>
      </c>
      <c r="D34"/>
      <c r="E34" s="3">
        <v>427</v>
      </c>
      <c r="F34" s="3">
        <v>390</v>
      </c>
      <c r="G34" s="3"/>
      <c r="H34" s="105"/>
      <c r="I34" s="40"/>
    </row>
    <row r="35" spans="1:9" x14ac:dyDescent="0.45">
      <c r="A35" s="3">
        <v>161207</v>
      </c>
      <c r="B35" s="3" t="s">
        <v>220</v>
      </c>
      <c r="C35" t="s">
        <v>221</v>
      </c>
      <c r="D35"/>
      <c r="E35" s="99">
        <v>448</v>
      </c>
      <c r="F35" s="3">
        <v>430</v>
      </c>
      <c r="G35" s="99"/>
      <c r="H35" s="105"/>
      <c r="I35" s="40"/>
    </row>
    <row r="36" spans="1:9" x14ac:dyDescent="0.45">
      <c r="A36" s="3">
        <v>170405</v>
      </c>
      <c r="B36" s="3" t="s">
        <v>222</v>
      </c>
      <c r="C36" t="s">
        <v>16</v>
      </c>
      <c r="D36"/>
      <c r="E36" s="3">
        <v>375</v>
      </c>
      <c r="F36" s="3">
        <v>370</v>
      </c>
      <c r="G36" s="3"/>
      <c r="H36" s="105"/>
      <c r="I36" s="40"/>
    </row>
    <row r="37" spans="1:9" x14ac:dyDescent="0.45">
      <c r="A37" s="41">
        <v>160809</v>
      </c>
      <c r="B37" s="41" t="s">
        <v>339</v>
      </c>
      <c r="C37" s="71"/>
      <c r="D37" s="31"/>
      <c r="E37" s="31">
        <v>400</v>
      </c>
      <c r="F37" s="41">
        <v>370</v>
      </c>
      <c r="G37" s="31"/>
      <c r="H37" s="105"/>
    </row>
    <row r="38" spans="1:9" x14ac:dyDescent="0.45">
      <c r="A38" s="41">
        <v>160702</v>
      </c>
      <c r="B38" s="41" t="s">
        <v>353</v>
      </c>
      <c r="C38" s="71"/>
      <c r="D38" s="31"/>
      <c r="E38" s="31">
        <v>430</v>
      </c>
      <c r="F38" s="41">
        <v>410</v>
      </c>
      <c r="G38" s="31"/>
      <c r="H38" s="105"/>
    </row>
    <row r="39" spans="1:9" x14ac:dyDescent="0.45">
      <c r="A39" s="41">
        <v>170108</v>
      </c>
      <c r="B39" s="41" t="s">
        <v>328</v>
      </c>
      <c r="C39" s="71"/>
      <c r="D39" s="31"/>
      <c r="E39" s="31">
        <v>410</v>
      </c>
      <c r="F39" s="41">
        <v>380</v>
      </c>
      <c r="G39" s="31"/>
      <c r="H39" s="105"/>
    </row>
    <row r="40" spans="1:9" x14ac:dyDescent="0.45">
      <c r="A40" s="31"/>
      <c r="B40" s="41" t="s">
        <v>342</v>
      </c>
      <c r="C40" s="71"/>
      <c r="D40" s="31"/>
      <c r="E40" s="31">
        <v>479</v>
      </c>
      <c r="F40" s="41">
        <v>430</v>
      </c>
      <c r="G40" s="31"/>
      <c r="H40" s="105"/>
    </row>
    <row r="41" spans="1:9" x14ac:dyDescent="0.45">
      <c r="A41" s="31"/>
      <c r="B41" s="41" t="s">
        <v>341</v>
      </c>
      <c r="C41" s="71"/>
      <c r="D41" s="31"/>
      <c r="E41" s="31">
        <v>465</v>
      </c>
      <c r="F41" s="41">
        <v>440</v>
      </c>
      <c r="G41" s="31"/>
      <c r="H41" s="105"/>
    </row>
    <row r="42" spans="1:9" x14ac:dyDescent="0.45">
      <c r="A42" s="41">
        <v>161006</v>
      </c>
      <c r="B42" s="41" t="s">
        <v>350</v>
      </c>
      <c r="C42" s="71"/>
      <c r="D42" s="9"/>
      <c r="E42" s="9">
        <v>488</v>
      </c>
      <c r="F42" s="41">
        <v>430</v>
      </c>
      <c r="H42" s="105"/>
    </row>
    <row r="43" spans="1:9" x14ac:dyDescent="0.45">
      <c r="B43" s="41" t="s">
        <v>346</v>
      </c>
      <c r="C43" s="71"/>
      <c r="D43" s="41"/>
      <c r="E43" s="41">
        <v>400</v>
      </c>
      <c r="F43" s="41">
        <v>370</v>
      </c>
      <c r="G43" s="41"/>
      <c r="H43" s="105"/>
    </row>
    <row r="44" spans="1:9" x14ac:dyDescent="0.45">
      <c r="A44" s="41">
        <v>160713</v>
      </c>
      <c r="B44" s="41" t="s">
        <v>330</v>
      </c>
      <c r="C44" s="71"/>
      <c r="D44" s="9"/>
      <c r="E44" s="9">
        <v>475</v>
      </c>
      <c r="F44" s="41">
        <v>450</v>
      </c>
      <c r="H44" s="105"/>
    </row>
    <row r="45" spans="1:9" x14ac:dyDescent="0.45">
      <c r="B45" s="41" t="s">
        <v>336</v>
      </c>
      <c r="C45" s="71"/>
      <c r="D45" s="41"/>
      <c r="E45" s="41">
        <v>425</v>
      </c>
      <c r="F45" s="41">
        <v>390</v>
      </c>
      <c r="G45" s="41"/>
      <c r="H45" s="105"/>
    </row>
    <row r="46" spans="1:9" x14ac:dyDescent="0.45">
      <c r="A46" s="9">
        <v>8420</v>
      </c>
      <c r="B46" s="41"/>
      <c r="C46" s="71"/>
      <c r="D46" s="9"/>
      <c r="E46" s="9">
        <v>450</v>
      </c>
      <c r="F46" s="41">
        <v>440</v>
      </c>
      <c r="H46" s="105"/>
    </row>
    <row r="47" spans="1:9" x14ac:dyDescent="0.45">
      <c r="B47" s="41" t="s">
        <v>338</v>
      </c>
      <c r="C47" s="71"/>
      <c r="D47" s="9"/>
      <c r="E47" s="9">
        <v>467</v>
      </c>
      <c r="F47" s="41">
        <v>420</v>
      </c>
      <c r="H47" s="105"/>
    </row>
    <row r="48" spans="1:9" x14ac:dyDescent="0.45">
      <c r="B48" s="41" t="s">
        <v>347</v>
      </c>
      <c r="C48" s="71"/>
      <c r="D48" s="9"/>
      <c r="E48" s="9">
        <v>480</v>
      </c>
      <c r="F48" s="41">
        <v>450</v>
      </c>
      <c r="H48" s="105"/>
    </row>
    <row r="49" spans="1:8" x14ac:dyDescent="0.45">
      <c r="B49" s="41" t="s">
        <v>334</v>
      </c>
      <c r="C49" s="71"/>
      <c r="D49" s="9"/>
      <c r="E49" s="9">
        <v>466</v>
      </c>
      <c r="F49" s="41">
        <v>430</v>
      </c>
      <c r="H49" s="105"/>
    </row>
    <row r="50" spans="1:8" x14ac:dyDescent="0.45">
      <c r="A50" s="41">
        <v>160307</v>
      </c>
      <c r="B50" s="41" t="s">
        <v>344</v>
      </c>
      <c r="C50" s="71"/>
      <c r="D50" s="9"/>
      <c r="E50" s="9">
        <v>435</v>
      </c>
      <c r="F50" s="41">
        <v>420</v>
      </c>
      <c r="H50" s="105"/>
    </row>
    <row r="51" spans="1:8" x14ac:dyDescent="0.45">
      <c r="B51" s="41" t="s">
        <v>335</v>
      </c>
      <c r="C51" s="71"/>
      <c r="D51" s="41"/>
      <c r="E51" s="41">
        <v>440</v>
      </c>
      <c r="F51" s="41">
        <v>420</v>
      </c>
      <c r="G51" s="41"/>
      <c r="H51" s="105"/>
    </row>
    <row r="52" spans="1:8" x14ac:dyDescent="0.45">
      <c r="A52" s="41">
        <v>160843</v>
      </c>
      <c r="B52" s="41" t="s">
        <v>333</v>
      </c>
      <c r="C52" s="71"/>
      <c r="D52" s="41"/>
      <c r="E52" s="41">
        <v>473</v>
      </c>
      <c r="F52" s="41">
        <v>420</v>
      </c>
      <c r="G52" s="41"/>
      <c r="H52" s="105"/>
    </row>
    <row r="53" spans="1:8" x14ac:dyDescent="0.45">
      <c r="B53" s="41" t="s">
        <v>356</v>
      </c>
      <c r="C53" s="71"/>
      <c r="D53" s="9"/>
      <c r="E53" s="9">
        <v>432</v>
      </c>
      <c r="F53" s="41">
        <v>400</v>
      </c>
      <c r="H53" s="105"/>
    </row>
    <row r="54" spans="1:8" x14ac:dyDescent="0.45">
      <c r="B54" s="41" t="s">
        <v>343</v>
      </c>
      <c r="C54" s="71"/>
      <c r="D54" s="41"/>
      <c r="E54" s="41">
        <v>438</v>
      </c>
      <c r="F54" s="41">
        <v>400</v>
      </c>
      <c r="G54" s="41"/>
      <c r="H54" s="105"/>
    </row>
  </sheetData>
  <autoFilter ref="A1:H54" xr:uid="{00000000-0009-0000-0000-00000C000000}">
    <filterColumn colId="0" showButton="0"/>
  </autoFilter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>
    <tabColor rgb="FF92D050"/>
  </sheetPr>
  <dimension ref="A1:J46"/>
  <sheetViews>
    <sheetView zoomScale="115" zoomScaleNormal="115" workbookViewId="0">
      <pane ySplit="5" topLeftCell="A16" activePane="bottomLeft" state="frozen"/>
      <selection pane="bottomLeft" activeCell="A22" sqref="A22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6" customWidth="1"/>
    <col min="5" max="5" width="12.453125" style="9" customWidth="1"/>
    <col min="6" max="6" width="10.453125" style="9" bestFit="1" customWidth="1"/>
    <col min="7" max="7" width="9.81640625" style="9" bestFit="1" customWidth="1"/>
    <col min="8" max="16384" width="10.81640625" style="6"/>
  </cols>
  <sheetData>
    <row r="1" spans="1:10" s="16" customFormat="1" ht="17.5" x14ac:dyDescent="0.35">
      <c r="A1" s="129"/>
      <c r="B1" s="129"/>
      <c r="C1" s="13" t="s">
        <v>114</v>
      </c>
      <c r="D1" s="14">
        <f>COUNT(D7:D51)</f>
        <v>17</v>
      </c>
      <c r="E1" s="14">
        <f>COUNT(E7:E39)</f>
        <v>8</v>
      </c>
      <c r="F1" s="14"/>
      <c r="G1" s="14"/>
      <c r="H1" s="45"/>
    </row>
    <row r="2" spans="1:10" s="16" customFormat="1" ht="11.5" customHeight="1" x14ac:dyDescent="0.35">
      <c r="A2" s="130"/>
      <c r="B2" s="130"/>
      <c r="C2" s="13" t="s">
        <v>109</v>
      </c>
      <c r="D2" s="14">
        <f>SUM(D7:D51)</f>
        <v>6777</v>
      </c>
      <c r="E2" s="14">
        <f>SUM(E7:E41)</f>
        <v>2970</v>
      </c>
      <c r="F2" s="14"/>
      <c r="G2" s="14"/>
    </row>
    <row r="3" spans="1:10" s="16" customFormat="1" ht="11.5" customHeight="1" x14ac:dyDescent="0.35">
      <c r="A3" s="17"/>
      <c r="B3" s="17"/>
      <c r="C3" s="13" t="s">
        <v>108</v>
      </c>
      <c r="D3" s="14">
        <f>D2/COUNT(D7:D51)</f>
        <v>398.64705882352939</v>
      </c>
      <c r="E3" s="14">
        <f>E2/COUNT(E7:E41)</f>
        <v>371.25</v>
      </c>
      <c r="F3" s="14"/>
      <c r="G3" s="14"/>
    </row>
    <row r="4" spans="1:10" s="16" customFormat="1" ht="11.5" customHeight="1" x14ac:dyDescent="0.35">
      <c r="A4" s="17"/>
      <c r="B4" s="17"/>
      <c r="C4" s="13" t="s">
        <v>110</v>
      </c>
      <c r="D4" s="18"/>
      <c r="E4" s="14"/>
      <c r="F4" s="18"/>
      <c r="G4" s="18"/>
    </row>
    <row r="5" spans="1:10" s="16" customFormat="1" ht="11.5" customHeight="1" x14ac:dyDescent="0.35">
      <c r="A5" s="20"/>
      <c r="B5" s="20"/>
      <c r="C5" s="21" t="s">
        <v>112</v>
      </c>
      <c r="D5" s="23"/>
      <c r="E5" s="22"/>
      <c r="F5" s="23"/>
      <c r="G5" s="30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43683</v>
      </c>
      <c r="E6" s="28">
        <v>43621</v>
      </c>
      <c r="F6" s="28"/>
      <c r="G6" s="28"/>
      <c r="H6"/>
    </row>
    <row r="7" spans="1:10" x14ac:dyDescent="0.45">
      <c r="A7" s="107">
        <v>160304</v>
      </c>
      <c r="B7" s="107" t="s">
        <v>150</v>
      </c>
      <c r="C7" s="48" t="s">
        <v>151</v>
      </c>
      <c r="D7" s="108">
        <v>430</v>
      </c>
      <c r="E7" s="107">
        <v>400</v>
      </c>
      <c r="F7" s="108"/>
      <c r="G7"/>
      <c r="H7"/>
      <c r="I7"/>
    </row>
    <row r="8" spans="1:10" x14ac:dyDescent="0.45">
      <c r="A8" s="107">
        <v>150500</v>
      </c>
      <c r="B8" s="107" t="s">
        <v>147</v>
      </c>
      <c r="C8" s="48" t="s">
        <v>42</v>
      </c>
      <c r="D8" s="108">
        <v>395</v>
      </c>
      <c r="E8" s="107">
        <v>375</v>
      </c>
      <c r="F8" s="108"/>
      <c r="G8"/>
      <c r="H8"/>
      <c r="I8"/>
    </row>
    <row r="9" spans="1:10" x14ac:dyDescent="0.45">
      <c r="A9" s="107">
        <v>160508</v>
      </c>
      <c r="B9" s="107" t="s">
        <v>149</v>
      </c>
      <c r="C9" s="48" t="s">
        <v>41</v>
      </c>
      <c r="D9" s="108">
        <v>390</v>
      </c>
      <c r="E9" s="107">
        <v>370</v>
      </c>
      <c r="F9" s="108"/>
      <c r="G9"/>
      <c r="H9"/>
      <c r="I9"/>
      <c r="J9"/>
    </row>
    <row r="10" spans="1:10" x14ac:dyDescent="0.45">
      <c r="A10" s="107">
        <v>160311</v>
      </c>
      <c r="B10" s="107" t="s">
        <v>160</v>
      </c>
      <c r="C10" s="48" t="s">
        <v>59</v>
      </c>
      <c r="D10" s="107">
        <v>422</v>
      </c>
      <c r="E10" s="107">
        <v>395</v>
      </c>
      <c r="F10" s="107"/>
      <c r="G10"/>
      <c r="H10"/>
      <c r="I10"/>
      <c r="J10"/>
    </row>
    <row r="11" spans="1:10" x14ac:dyDescent="0.45">
      <c r="A11" s="107"/>
      <c r="B11" s="109" t="s">
        <v>463</v>
      </c>
      <c r="C11" s="49"/>
      <c r="D11" s="110">
        <v>393</v>
      </c>
      <c r="E11" s="109"/>
      <c r="F11" s="110"/>
      <c r="G11"/>
      <c r="H11"/>
      <c r="I11"/>
      <c r="J11"/>
    </row>
    <row r="12" spans="1:10" x14ac:dyDescent="0.45">
      <c r="A12" s="109">
        <v>160845</v>
      </c>
      <c r="B12" s="109" t="s">
        <v>464</v>
      </c>
      <c r="C12" s="49"/>
      <c r="D12" s="110">
        <v>407</v>
      </c>
      <c r="E12" s="109"/>
      <c r="F12" s="110"/>
      <c r="G12"/>
      <c r="H12"/>
      <c r="I12"/>
      <c r="J12"/>
    </row>
    <row r="13" spans="1:10" x14ac:dyDescent="0.45">
      <c r="A13" s="107"/>
      <c r="B13" s="109" t="s">
        <v>465</v>
      </c>
      <c r="C13" s="49"/>
      <c r="D13" s="110">
        <v>423</v>
      </c>
      <c r="E13" s="109"/>
      <c r="F13" s="110"/>
      <c r="G13"/>
      <c r="H13" s="2"/>
      <c r="I13"/>
      <c r="J13"/>
    </row>
    <row r="14" spans="1:10" x14ac:dyDescent="0.45">
      <c r="A14" s="107"/>
      <c r="B14" s="109" t="s">
        <v>466</v>
      </c>
      <c r="C14" s="49"/>
      <c r="D14" s="110">
        <v>420</v>
      </c>
      <c r="E14" s="109"/>
      <c r="F14" s="110"/>
      <c r="G14"/>
      <c r="H14" s="41"/>
      <c r="I14"/>
    </row>
    <row r="15" spans="1:10" x14ac:dyDescent="0.45">
      <c r="A15" s="107">
        <v>150600</v>
      </c>
      <c r="B15" s="107" t="s">
        <v>154</v>
      </c>
      <c r="C15" s="48" t="s">
        <v>41</v>
      </c>
      <c r="D15" s="108">
        <v>403</v>
      </c>
      <c r="E15" s="107">
        <v>370</v>
      </c>
      <c r="F15" s="108"/>
      <c r="G15"/>
      <c r="H15" s="41"/>
    </row>
    <row r="16" spans="1:10" x14ac:dyDescent="0.45">
      <c r="A16" s="3">
        <v>150804</v>
      </c>
      <c r="B16" s="3" t="s">
        <v>175</v>
      </c>
      <c r="C16" t="s">
        <v>176</v>
      </c>
      <c r="D16" s="3">
        <v>400</v>
      </c>
      <c r="E16" s="3">
        <v>380</v>
      </c>
      <c r="F16" s="3"/>
      <c r="G16"/>
      <c r="H16" s="41"/>
    </row>
    <row r="17" spans="1:9" x14ac:dyDescent="0.45">
      <c r="A17" s="3">
        <v>160806</v>
      </c>
      <c r="B17" s="3" t="s">
        <v>148</v>
      </c>
      <c r="C17" t="s">
        <v>41</v>
      </c>
      <c r="D17" s="99">
        <v>331</v>
      </c>
      <c r="E17" s="3">
        <v>310</v>
      </c>
      <c r="F17" s="99"/>
      <c r="G17"/>
      <c r="H17" s="41"/>
    </row>
    <row r="18" spans="1:9" x14ac:dyDescent="0.45">
      <c r="A18" s="3"/>
      <c r="B18" s="9" t="s">
        <v>467</v>
      </c>
      <c r="C18" s="6" t="s">
        <v>41</v>
      </c>
      <c r="D18" s="9">
        <v>394</v>
      </c>
      <c r="G18"/>
      <c r="H18" s="41"/>
    </row>
    <row r="19" spans="1:9" x14ac:dyDescent="0.45">
      <c r="A19" s="3">
        <v>150204</v>
      </c>
      <c r="B19" s="3" t="s">
        <v>152</v>
      </c>
      <c r="C19" t="s">
        <v>27</v>
      </c>
      <c r="D19" s="3">
        <v>399</v>
      </c>
      <c r="E19" s="3">
        <v>370</v>
      </c>
      <c r="F19" s="3"/>
      <c r="G19"/>
      <c r="H19" s="41"/>
    </row>
    <row r="20" spans="1:9" x14ac:dyDescent="0.45">
      <c r="A20" s="3"/>
      <c r="B20" s="9" t="s">
        <v>468</v>
      </c>
      <c r="D20" s="9">
        <v>400</v>
      </c>
      <c r="G20"/>
      <c r="H20" s="41"/>
    </row>
    <row r="21" spans="1:9" x14ac:dyDescent="0.45">
      <c r="A21" s="3"/>
      <c r="B21" s="9" t="s">
        <v>469</v>
      </c>
      <c r="D21" s="9">
        <v>370</v>
      </c>
      <c r="G21"/>
      <c r="H21" s="41"/>
    </row>
    <row r="22" spans="1:9" x14ac:dyDescent="0.45">
      <c r="A22" s="9">
        <v>160834</v>
      </c>
      <c r="B22" s="9" t="s">
        <v>470</v>
      </c>
      <c r="D22" s="9">
        <v>420</v>
      </c>
      <c r="G22"/>
      <c r="H22" s="41"/>
    </row>
    <row r="23" spans="1:9" x14ac:dyDescent="0.45">
      <c r="A23" s="3"/>
      <c r="B23" s="9" t="s">
        <v>471</v>
      </c>
      <c r="D23" s="9">
        <v>380</v>
      </c>
      <c r="G23"/>
      <c r="H23" s="41"/>
    </row>
    <row r="24" spans="1:9" x14ac:dyDescent="0.45">
      <c r="A24" s="3"/>
      <c r="B24" s="3"/>
      <c r="C24"/>
      <c r="D24"/>
      <c r="E24" s="3"/>
      <c r="F24" s="3"/>
      <c r="G24"/>
      <c r="H24" s="41"/>
    </row>
    <row r="25" spans="1:9" x14ac:dyDescent="0.45">
      <c r="A25" s="3"/>
      <c r="B25" s="3"/>
      <c r="C25"/>
      <c r="D25"/>
      <c r="E25" s="3"/>
      <c r="F25" s="99"/>
      <c r="G25"/>
      <c r="H25" s="41"/>
    </row>
    <row r="26" spans="1:9" x14ac:dyDescent="0.45">
      <c r="A26" s="3"/>
      <c r="B26" s="3"/>
      <c r="C26"/>
      <c r="D26"/>
      <c r="E26" s="3"/>
      <c r="F26" s="3"/>
      <c r="G26"/>
      <c r="H26"/>
      <c r="I26"/>
    </row>
    <row r="27" spans="1:9" x14ac:dyDescent="0.45">
      <c r="A27" s="3"/>
      <c r="C27"/>
      <c r="D27"/>
      <c r="F27" s="99"/>
      <c r="G27"/>
    </row>
    <row r="28" spans="1:9" x14ac:dyDescent="0.45">
      <c r="A28" s="3"/>
      <c r="B28" s="3"/>
      <c r="C28"/>
      <c r="D28"/>
      <c r="E28" s="3"/>
      <c r="F28" s="3"/>
      <c r="G28"/>
      <c r="H28" s="41"/>
    </row>
    <row r="29" spans="1:9" x14ac:dyDescent="0.45">
      <c r="A29" s="3"/>
      <c r="B29" s="3"/>
      <c r="C29"/>
      <c r="D29"/>
      <c r="E29" s="3"/>
      <c r="F29" s="99"/>
      <c r="G29"/>
      <c r="H29" s="41"/>
    </row>
    <row r="30" spans="1:9" x14ac:dyDescent="0.45">
      <c r="A30" s="3"/>
      <c r="B30" s="3"/>
      <c r="C30"/>
      <c r="D30"/>
      <c r="E30" s="3"/>
      <c r="F30" s="3"/>
      <c r="G30"/>
      <c r="H30" s="41"/>
    </row>
    <row r="31" spans="1:9" x14ac:dyDescent="0.45">
      <c r="A31" s="3"/>
      <c r="C31"/>
      <c r="D31"/>
      <c r="E31" s="3"/>
      <c r="F31" s="99"/>
      <c r="G31"/>
      <c r="H31" s="41"/>
    </row>
    <row r="32" spans="1:9" x14ac:dyDescent="0.45">
      <c r="A32" s="3"/>
      <c r="B32" s="3"/>
      <c r="C32"/>
      <c r="D32"/>
      <c r="E32" s="3"/>
      <c r="F32" s="99"/>
      <c r="G32"/>
      <c r="H32" s="40"/>
    </row>
    <row r="33" spans="1:8" x14ac:dyDescent="0.45">
      <c r="A33" s="3"/>
      <c r="B33" s="3"/>
      <c r="C33"/>
      <c r="D33"/>
      <c r="E33" s="3"/>
      <c r="F33" s="99"/>
      <c r="G33"/>
      <c r="H33" s="40"/>
    </row>
    <row r="34" spans="1:8" x14ac:dyDescent="0.45">
      <c r="A34" s="3"/>
      <c r="B34" s="3"/>
      <c r="C34"/>
      <c r="D34"/>
      <c r="E34" s="3"/>
      <c r="F34" s="99"/>
      <c r="G34"/>
      <c r="H34" s="40"/>
    </row>
    <row r="35" spans="1:8" x14ac:dyDescent="0.45">
      <c r="A35" s="3"/>
      <c r="B35" s="3"/>
      <c r="C35"/>
      <c r="D35"/>
      <c r="E35" s="3"/>
      <c r="F35" s="99"/>
      <c r="G35"/>
      <c r="H35" s="40"/>
    </row>
    <row r="36" spans="1:8" x14ac:dyDescent="0.45">
      <c r="A36" s="3"/>
      <c r="B36" s="3"/>
      <c r="E36" s="3"/>
      <c r="F36" s="40"/>
      <c r="G36"/>
      <c r="H36" s="40"/>
    </row>
    <row r="37" spans="1:8" x14ac:dyDescent="0.45">
      <c r="A37" s="3"/>
      <c r="B37" s="3"/>
      <c r="E37" s="3"/>
      <c r="F37" s="41"/>
      <c r="G37" s="31"/>
    </row>
    <row r="38" spans="1:8" x14ac:dyDescent="0.45">
      <c r="A38" s="3"/>
      <c r="B38" s="3"/>
      <c r="E38" s="3"/>
      <c r="F38" s="41"/>
      <c r="G38" s="31"/>
    </row>
    <row r="39" spans="1:8" x14ac:dyDescent="0.45">
      <c r="A39" s="106"/>
      <c r="B39" s="3"/>
      <c r="E39" s="3"/>
      <c r="F39" s="41"/>
      <c r="G39" s="31"/>
    </row>
    <row r="40" spans="1:8" x14ac:dyDescent="0.45">
      <c r="A40" s="31"/>
      <c r="B40" s="31"/>
      <c r="C40" s="32"/>
      <c r="D40" s="32"/>
      <c r="E40" s="31"/>
      <c r="F40" s="41"/>
      <c r="G40" s="31"/>
    </row>
    <row r="41" spans="1:8" x14ac:dyDescent="0.45">
      <c r="A41" s="31"/>
      <c r="B41" s="31"/>
      <c r="C41" s="32"/>
      <c r="D41" s="32"/>
      <c r="E41" s="31"/>
      <c r="F41" s="41"/>
      <c r="G41" s="31"/>
    </row>
    <row r="42" spans="1:8" x14ac:dyDescent="0.45">
      <c r="A42" s="31"/>
      <c r="B42" s="31"/>
      <c r="C42" s="32"/>
      <c r="D42" s="32"/>
      <c r="E42" s="31"/>
      <c r="F42" s="41"/>
      <c r="G42" s="31"/>
    </row>
    <row r="43" spans="1:8" x14ac:dyDescent="0.45">
      <c r="F43" s="40"/>
    </row>
    <row r="44" spans="1:8" x14ac:dyDescent="0.45">
      <c r="F44" s="40"/>
    </row>
    <row r="45" spans="1:8" x14ac:dyDescent="0.45">
      <c r="F45" s="40"/>
    </row>
    <row r="46" spans="1:8" x14ac:dyDescent="0.45">
      <c r="F46" s="40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>
    <tabColor rgb="FF92D050"/>
  </sheetPr>
  <dimension ref="A1:J41"/>
  <sheetViews>
    <sheetView zoomScale="130" zoomScaleNormal="130" workbookViewId="0">
      <pane ySplit="5" topLeftCell="A11" activePane="bottomLeft" state="frozen"/>
      <selection pane="bottomLeft" activeCell="A21" sqref="A21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5.26953125" style="6" customWidth="1"/>
    <col min="5" max="5" width="12.453125" style="9" customWidth="1"/>
    <col min="6" max="6" width="10.453125" style="9" bestFit="1" customWidth="1"/>
    <col min="7" max="7" width="9.81640625" style="9" bestFit="1" customWidth="1"/>
    <col min="8" max="16384" width="10.81640625" style="6"/>
  </cols>
  <sheetData>
    <row r="1" spans="1:10" s="16" customFormat="1" ht="17.5" x14ac:dyDescent="0.35">
      <c r="A1" s="129"/>
      <c r="B1" s="129"/>
      <c r="C1" s="13" t="s">
        <v>114</v>
      </c>
      <c r="D1" s="14">
        <f>COUNT(D7:D42)</f>
        <v>35</v>
      </c>
      <c r="E1" s="14">
        <f>COUNT(E7:E31)</f>
        <v>12</v>
      </c>
      <c r="F1" s="14"/>
      <c r="G1" s="14"/>
      <c r="H1" s="45"/>
    </row>
    <row r="2" spans="1:10" s="16" customFormat="1" ht="11.5" customHeight="1" x14ac:dyDescent="0.35">
      <c r="A2" s="130"/>
      <c r="B2" s="130"/>
      <c r="C2" s="13" t="s">
        <v>109</v>
      </c>
      <c r="D2" s="14">
        <f>SUM(D7:D42)</f>
        <v>12958</v>
      </c>
      <c r="E2" s="14">
        <f>SUM(E7:E33)</f>
        <v>4525</v>
      </c>
      <c r="F2" s="14"/>
      <c r="G2" s="14"/>
    </row>
    <row r="3" spans="1:10" s="16" customFormat="1" ht="11.5" customHeight="1" x14ac:dyDescent="0.35">
      <c r="A3" s="17"/>
      <c r="B3" s="17"/>
      <c r="C3" s="13" t="s">
        <v>108</v>
      </c>
      <c r="D3" s="14">
        <f>D2/COUNT(D7:D42)</f>
        <v>370.22857142857146</v>
      </c>
      <c r="E3" s="14">
        <f>E2/COUNT(E7:E33)</f>
        <v>377.08333333333331</v>
      </c>
      <c r="F3" s="14"/>
      <c r="G3" s="14"/>
    </row>
    <row r="4" spans="1:10" s="16" customFormat="1" ht="11.5" customHeight="1" x14ac:dyDescent="0.35">
      <c r="A4" s="17"/>
      <c r="B4" s="17"/>
      <c r="C4" s="13" t="s">
        <v>110</v>
      </c>
      <c r="D4" s="18"/>
      <c r="E4" s="14"/>
      <c r="F4" s="18"/>
      <c r="G4" s="18"/>
    </row>
    <row r="5" spans="1:10" s="16" customFormat="1" ht="11.5" customHeight="1" x14ac:dyDescent="0.35">
      <c r="A5" s="20"/>
      <c r="B5" s="20"/>
      <c r="C5" s="21" t="s">
        <v>112</v>
      </c>
      <c r="D5" s="23"/>
      <c r="E5" s="22"/>
      <c r="F5" s="23"/>
      <c r="G5" s="30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43683</v>
      </c>
      <c r="E6" s="28">
        <v>43621</v>
      </c>
      <c r="F6" s="28"/>
      <c r="G6" s="28"/>
      <c r="H6"/>
    </row>
    <row r="7" spans="1:10" x14ac:dyDescent="0.45">
      <c r="A7" s="3"/>
      <c r="B7" s="3" t="s">
        <v>473</v>
      </c>
      <c r="C7" t="s">
        <v>153</v>
      </c>
      <c r="D7" s="33">
        <v>370</v>
      </c>
      <c r="E7" s="3">
        <v>350</v>
      </c>
      <c r="F7" s="33"/>
      <c r="G7"/>
      <c r="H7"/>
      <c r="I7"/>
      <c r="J7"/>
    </row>
    <row r="8" spans="1:10" x14ac:dyDescent="0.45">
      <c r="A8" s="111">
        <v>160214</v>
      </c>
      <c r="B8" s="3" t="s">
        <v>155</v>
      </c>
      <c r="C8" t="s">
        <v>156</v>
      </c>
      <c r="D8" s="99">
        <v>410</v>
      </c>
      <c r="E8" s="3">
        <v>380</v>
      </c>
      <c r="F8" s="99"/>
      <c r="G8"/>
      <c r="H8" s="41"/>
      <c r="I8"/>
    </row>
    <row r="9" spans="1:10" x14ac:dyDescent="0.45">
      <c r="A9" s="111">
        <v>160718</v>
      </c>
      <c r="B9" s="3" t="s">
        <v>157</v>
      </c>
      <c r="C9" t="s">
        <v>115</v>
      </c>
      <c r="D9" s="3">
        <v>423</v>
      </c>
      <c r="E9" s="3">
        <v>400</v>
      </c>
      <c r="F9" s="3"/>
      <c r="G9"/>
      <c r="H9" s="41"/>
    </row>
    <row r="10" spans="1:10" x14ac:dyDescent="0.45">
      <c r="A10" s="111">
        <v>151109</v>
      </c>
      <c r="B10" s="3" t="s">
        <v>158</v>
      </c>
      <c r="C10" t="s">
        <v>159</v>
      </c>
      <c r="D10" s="3">
        <v>420</v>
      </c>
      <c r="E10" s="3">
        <v>390</v>
      </c>
      <c r="F10" s="3"/>
      <c r="G10"/>
      <c r="H10" s="41"/>
    </row>
    <row r="11" spans="1:10" x14ac:dyDescent="0.45">
      <c r="A11" s="111">
        <v>160723</v>
      </c>
      <c r="B11" s="3" t="s">
        <v>161</v>
      </c>
      <c r="C11" t="s">
        <v>162</v>
      </c>
      <c r="D11" s="3">
        <v>361</v>
      </c>
      <c r="E11" s="3">
        <v>355</v>
      </c>
      <c r="F11" s="3"/>
      <c r="G11"/>
      <c r="H11" s="41"/>
    </row>
    <row r="12" spans="1:10" x14ac:dyDescent="0.45">
      <c r="A12" s="111">
        <v>160200</v>
      </c>
      <c r="B12" s="3" t="s">
        <v>163</v>
      </c>
      <c r="C12" t="s">
        <v>164</v>
      </c>
      <c r="D12" s="3">
        <v>400</v>
      </c>
      <c r="E12" s="3">
        <v>380</v>
      </c>
      <c r="F12" s="3"/>
      <c r="G12"/>
      <c r="H12" s="41"/>
    </row>
    <row r="13" spans="1:10" x14ac:dyDescent="0.45">
      <c r="A13" s="3"/>
      <c r="B13" s="3" t="s">
        <v>165</v>
      </c>
      <c r="C13" t="s">
        <v>166</v>
      </c>
      <c r="D13" s="33">
        <v>370</v>
      </c>
      <c r="E13" s="3">
        <v>380</v>
      </c>
      <c r="F13" s="33"/>
      <c r="G13"/>
      <c r="H13" s="41"/>
    </row>
    <row r="14" spans="1:10" x14ac:dyDescent="0.45">
      <c r="A14" s="111">
        <v>160306</v>
      </c>
      <c r="B14" s="3" t="s">
        <v>167</v>
      </c>
      <c r="C14" t="s">
        <v>168</v>
      </c>
      <c r="D14" s="99">
        <v>395</v>
      </c>
      <c r="E14" s="3">
        <v>380</v>
      </c>
      <c r="F14" s="99"/>
      <c r="G14"/>
      <c r="H14" s="41"/>
    </row>
    <row r="15" spans="1:10" x14ac:dyDescent="0.45">
      <c r="A15" s="3">
        <v>151100</v>
      </c>
      <c r="B15" s="3" t="s">
        <v>169</v>
      </c>
      <c r="C15" t="s">
        <v>115</v>
      </c>
      <c r="D15" s="33">
        <v>370</v>
      </c>
      <c r="E15" s="3">
        <v>390</v>
      </c>
      <c r="F15" s="33"/>
      <c r="G15"/>
      <c r="H15" s="41"/>
    </row>
    <row r="16" spans="1:10" x14ac:dyDescent="0.45">
      <c r="A16" s="111">
        <v>150825</v>
      </c>
      <c r="B16" s="3" t="s">
        <v>170</v>
      </c>
      <c r="C16" t="s">
        <v>115</v>
      </c>
      <c r="D16" s="3">
        <v>395</v>
      </c>
      <c r="E16" s="3">
        <v>380</v>
      </c>
      <c r="F16" s="3"/>
      <c r="G16"/>
      <c r="H16" s="41"/>
    </row>
    <row r="17" spans="1:8" x14ac:dyDescent="0.45">
      <c r="A17" s="111">
        <v>160830</v>
      </c>
      <c r="B17" s="3" t="s">
        <v>171</v>
      </c>
      <c r="C17" t="s">
        <v>172</v>
      </c>
      <c r="D17" s="3">
        <v>393</v>
      </c>
      <c r="E17" s="3">
        <v>380</v>
      </c>
      <c r="F17" s="3"/>
      <c r="G17"/>
      <c r="H17" s="41"/>
    </row>
    <row r="18" spans="1:8" x14ac:dyDescent="0.45">
      <c r="A18" s="3"/>
      <c r="B18" s="111" t="s">
        <v>173</v>
      </c>
      <c r="C18" t="s">
        <v>174</v>
      </c>
      <c r="D18" s="99">
        <v>388</v>
      </c>
      <c r="E18" s="3">
        <v>360</v>
      </c>
      <c r="F18" s="99"/>
      <c r="G18"/>
      <c r="H18" s="41"/>
    </row>
    <row r="19" spans="1:8" x14ac:dyDescent="0.45">
      <c r="A19" s="3"/>
      <c r="B19" s="11" t="s">
        <v>448</v>
      </c>
      <c r="C19" t="s">
        <v>59</v>
      </c>
      <c r="D19" s="99">
        <v>382</v>
      </c>
      <c r="F19" s="99"/>
      <c r="G19"/>
    </row>
    <row r="20" spans="1:8" x14ac:dyDescent="0.45">
      <c r="A20" s="111">
        <v>160840</v>
      </c>
      <c r="B20" s="3" t="s">
        <v>449</v>
      </c>
      <c r="C20" t="s">
        <v>450</v>
      </c>
      <c r="D20" s="3">
        <v>432</v>
      </c>
      <c r="E20" s="3"/>
      <c r="F20" s="3"/>
      <c r="G20"/>
      <c r="H20" s="41"/>
    </row>
    <row r="21" spans="1:8" x14ac:dyDescent="0.45">
      <c r="A21" s="111">
        <v>160849</v>
      </c>
      <c r="B21" s="3" t="s">
        <v>451</v>
      </c>
      <c r="C21" t="s">
        <v>40</v>
      </c>
      <c r="D21" s="99">
        <v>382</v>
      </c>
      <c r="E21" s="3"/>
      <c r="F21" s="99"/>
      <c r="G21"/>
      <c r="H21" s="41"/>
    </row>
    <row r="22" spans="1:8" x14ac:dyDescent="0.45">
      <c r="A22" s="3"/>
      <c r="B22" s="111" t="s">
        <v>452</v>
      </c>
      <c r="C22" t="s">
        <v>115</v>
      </c>
      <c r="D22" s="3">
        <v>394</v>
      </c>
      <c r="E22" s="3"/>
      <c r="F22" s="3"/>
      <c r="G22"/>
      <c r="H22" s="41"/>
    </row>
    <row r="23" spans="1:8" x14ac:dyDescent="0.45">
      <c r="A23" s="111">
        <v>160846</v>
      </c>
      <c r="B23" s="9" t="s">
        <v>453</v>
      </c>
      <c r="C23" t="s">
        <v>59</v>
      </c>
      <c r="D23" s="99">
        <v>410</v>
      </c>
      <c r="E23" s="3"/>
      <c r="F23" s="99"/>
      <c r="G23"/>
      <c r="H23" s="41"/>
    </row>
    <row r="24" spans="1:8" x14ac:dyDescent="0.45">
      <c r="A24" s="111">
        <v>160513</v>
      </c>
      <c r="B24" s="3" t="s">
        <v>454</v>
      </c>
      <c r="C24" t="s">
        <v>59</v>
      </c>
      <c r="D24" s="99">
        <v>400</v>
      </c>
      <c r="E24" s="3"/>
      <c r="F24" s="99"/>
      <c r="G24"/>
      <c r="H24" s="40"/>
    </row>
    <row r="25" spans="1:8" x14ac:dyDescent="0.45">
      <c r="A25" s="111">
        <v>160905</v>
      </c>
      <c r="B25" s="3"/>
      <c r="C25"/>
      <c r="D25" s="99">
        <v>404</v>
      </c>
      <c r="E25" s="3"/>
      <c r="F25" s="99"/>
      <c r="G25"/>
      <c r="H25" s="40"/>
    </row>
    <row r="26" spans="1:8" x14ac:dyDescent="0.45">
      <c r="A26" s="111">
        <v>160717</v>
      </c>
      <c r="B26" s="3" t="s">
        <v>455</v>
      </c>
      <c r="C26"/>
      <c r="D26" s="99">
        <v>430</v>
      </c>
      <c r="E26" s="3"/>
      <c r="F26" s="99"/>
      <c r="G26"/>
      <c r="H26" s="40"/>
    </row>
    <row r="27" spans="1:8" x14ac:dyDescent="0.45">
      <c r="A27" s="111">
        <v>160716</v>
      </c>
      <c r="B27" s="3" t="s">
        <v>456</v>
      </c>
      <c r="C27" t="s">
        <v>26</v>
      </c>
      <c r="D27" s="99">
        <v>377</v>
      </c>
      <c r="E27" s="3"/>
      <c r="F27" s="99"/>
      <c r="G27"/>
      <c r="H27" s="40"/>
    </row>
    <row r="28" spans="1:8" x14ac:dyDescent="0.45">
      <c r="A28" s="111">
        <v>161100</v>
      </c>
      <c r="B28" s="3" t="s">
        <v>457</v>
      </c>
      <c r="C28" s="6" t="s">
        <v>115</v>
      </c>
      <c r="D28" s="40">
        <v>417</v>
      </c>
      <c r="E28" s="3"/>
      <c r="F28" s="40"/>
      <c r="G28"/>
      <c r="H28" s="40"/>
    </row>
    <row r="29" spans="1:8" x14ac:dyDescent="0.45">
      <c r="A29" s="3"/>
      <c r="B29" s="111" t="s">
        <v>458</v>
      </c>
      <c r="D29" s="41">
        <v>422</v>
      </c>
      <c r="E29" s="3"/>
      <c r="F29" s="41"/>
      <c r="G29" s="31"/>
    </row>
    <row r="30" spans="1:8" x14ac:dyDescent="0.45">
      <c r="A30" s="111">
        <v>160828</v>
      </c>
      <c r="B30" s="3" t="s">
        <v>459</v>
      </c>
      <c r="C30" s="6" t="s">
        <v>115</v>
      </c>
      <c r="D30" s="41">
        <v>430</v>
      </c>
      <c r="E30" s="3"/>
      <c r="F30" s="41"/>
      <c r="G30" s="31"/>
    </row>
    <row r="31" spans="1:8" x14ac:dyDescent="0.45">
      <c r="A31" s="112">
        <v>171010</v>
      </c>
      <c r="B31" s="3"/>
      <c r="C31" s="6" t="s">
        <v>117</v>
      </c>
      <c r="D31" s="41">
        <v>480</v>
      </c>
      <c r="E31" s="3"/>
      <c r="F31" s="41"/>
      <c r="G31" s="31"/>
    </row>
    <row r="32" spans="1:8" x14ac:dyDescent="0.45">
      <c r="A32" s="11">
        <v>160831</v>
      </c>
      <c r="B32" s="31" t="s">
        <v>460</v>
      </c>
      <c r="C32" s="32" t="s">
        <v>40</v>
      </c>
      <c r="D32" s="41">
        <v>415</v>
      </c>
      <c r="E32" s="31"/>
      <c r="F32" s="41"/>
      <c r="G32" s="31"/>
    </row>
    <row r="33" spans="1:7" x14ac:dyDescent="0.45">
      <c r="A33" s="11">
        <v>160838</v>
      </c>
      <c r="B33" s="31" t="s">
        <v>461</v>
      </c>
      <c r="C33" s="32" t="s">
        <v>116</v>
      </c>
      <c r="D33" s="41">
        <v>378</v>
      </c>
      <c r="E33" s="31"/>
      <c r="F33" s="41"/>
      <c r="G33" s="31"/>
    </row>
    <row r="34" spans="1:7" x14ac:dyDescent="0.45">
      <c r="A34" s="11">
        <v>160922</v>
      </c>
      <c r="B34" s="31" t="s">
        <v>462</v>
      </c>
      <c r="C34" s="32"/>
      <c r="D34" s="41">
        <v>358</v>
      </c>
      <c r="E34" s="31"/>
      <c r="F34" s="41"/>
      <c r="G34" s="31"/>
    </row>
    <row r="35" spans="1:7" x14ac:dyDescent="0.45">
      <c r="B35" s="11" t="s">
        <v>474</v>
      </c>
      <c r="C35" s="6" t="s">
        <v>475</v>
      </c>
      <c r="D35" s="9">
        <v>266</v>
      </c>
    </row>
    <row r="36" spans="1:7" x14ac:dyDescent="0.45">
      <c r="A36" s="31">
        <v>170506</v>
      </c>
      <c r="B36" s="31"/>
      <c r="C36" s="70" t="s">
        <v>317</v>
      </c>
      <c r="D36" s="31">
        <v>230</v>
      </c>
      <c r="E36" s="31">
        <v>210</v>
      </c>
      <c r="F36" s="31"/>
    </row>
    <row r="37" spans="1:7" x14ac:dyDescent="0.45">
      <c r="A37" s="31">
        <v>170725</v>
      </c>
      <c r="B37" s="31"/>
      <c r="C37" s="70" t="s">
        <v>317</v>
      </c>
      <c r="D37" s="31">
        <v>220</v>
      </c>
      <c r="E37" s="31">
        <v>210</v>
      </c>
      <c r="F37" s="31"/>
    </row>
    <row r="38" spans="1:7" x14ac:dyDescent="0.45">
      <c r="A38" s="31">
        <v>170710</v>
      </c>
      <c r="B38" s="31"/>
      <c r="C38" s="70" t="s">
        <v>317</v>
      </c>
      <c r="D38" s="31">
        <v>258</v>
      </c>
      <c r="E38" s="31">
        <v>230</v>
      </c>
      <c r="F38" s="31"/>
    </row>
    <row r="39" spans="1:7" x14ac:dyDescent="0.45">
      <c r="A39" s="31">
        <v>170709</v>
      </c>
      <c r="B39" s="31"/>
      <c r="C39" s="70" t="s">
        <v>318</v>
      </c>
      <c r="D39" s="31">
        <v>288</v>
      </c>
      <c r="E39" s="31">
        <v>260</v>
      </c>
      <c r="F39" s="31"/>
    </row>
    <row r="40" spans="1:7" x14ac:dyDescent="0.45">
      <c r="A40" s="31">
        <v>170702</v>
      </c>
      <c r="B40" s="31"/>
      <c r="C40" s="70" t="s">
        <v>317</v>
      </c>
      <c r="D40" s="31">
        <v>260</v>
      </c>
      <c r="E40" s="31">
        <v>250</v>
      </c>
      <c r="F40" s="31"/>
    </row>
    <row r="41" spans="1:7" x14ac:dyDescent="0.45">
      <c r="A41" s="31">
        <v>170705</v>
      </c>
      <c r="B41" s="70"/>
      <c r="C41" s="70" t="s">
        <v>317</v>
      </c>
      <c r="D41" s="9">
        <v>230</v>
      </c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35">
    <tabColor rgb="FF92D050"/>
  </sheetPr>
  <dimension ref="A1:I30"/>
  <sheetViews>
    <sheetView workbookViewId="0">
      <pane ySplit="5" topLeftCell="A14" activePane="bottomLeft" state="frozen"/>
      <selection pane="bottomLeft" activeCell="B21" sqref="B21:D21"/>
    </sheetView>
  </sheetViews>
  <sheetFormatPr defaultColWidth="10.81640625" defaultRowHeight="16.5" x14ac:dyDescent="0.45"/>
  <cols>
    <col min="1" max="1" width="11.453125" style="31" bestFit="1" customWidth="1"/>
    <col min="2" max="2" width="11" style="31" customWidth="1"/>
    <col min="3" max="3" width="19.453125" style="32" bestFit="1" customWidth="1"/>
    <col min="4" max="4" width="13" style="31" customWidth="1"/>
    <col min="5" max="6" width="10.453125" style="31" bestFit="1" customWidth="1"/>
    <col min="7" max="7" width="10.81640625" style="9"/>
    <col min="8" max="16384" width="10.81640625" style="6"/>
  </cols>
  <sheetData>
    <row r="1" spans="1:9" s="16" customFormat="1" ht="17.5" x14ac:dyDescent="0.35">
      <c r="A1" s="129" t="s">
        <v>391</v>
      </c>
      <c r="B1" s="129"/>
      <c r="C1" s="13" t="s">
        <v>114</v>
      </c>
      <c r="D1" s="14">
        <f>COUNT(D7:D33)</f>
        <v>4</v>
      </c>
      <c r="E1" s="14">
        <f>COUNT(E7:E33)</f>
        <v>0</v>
      </c>
      <c r="F1" s="14">
        <f>COUNT(F7:F33)</f>
        <v>0</v>
      </c>
      <c r="G1" s="60"/>
    </row>
    <row r="2" spans="1:9" s="16" customFormat="1" ht="11.5" customHeight="1" x14ac:dyDescent="0.35">
      <c r="A2" s="130"/>
      <c r="B2" s="130"/>
      <c r="C2" s="13" t="s">
        <v>109</v>
      </c>
      <c r="D2" s="14">
        <f>SUM(D7:D36)</f>
        <v>930</v>
      </c>
      <c r="E2" s="14">
        <f>SUM(E7:E36)</f>
        <v>0</v>
      </c>
      <c r="F2" s="14">
        <f>SUM(F7:F36)</f>
        <v>0</v>
      </c>
      <c r="G2" s="61"/>
    </row>
    <row r="3" spans="1:9" s="16" customFormat="1" ht="11.5" customHeight="1" x14ac:dyDescent="0.35">
      <c r="A3" s="17"/>
      <c r="B3" s="17"/>
      <c r="C3" s="13" t="s">
        <v>108</v>
      </c>
      <c r="D3" s="14">
        <f>D2/COUNT(D7:D36)</f>
        <v>232.5</v>
      </c>
      <c r="E3" s="14" t="e">
        <f>E2/COUNT(E7:E36)</f>
        <v>#DIV/0!</v>
      </c>
      <c r="F3" s="14" t="e">
        <f>F2/COUNT(F7:F36)</f>
        <v>#DIV/0!</v>
      </c>
      <c r="G3" s="61"/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  <c r="G4" s="61"/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  <c r="G5" s="61"/>
    </row>
    <row r="6" spans="1:9" x14ac:dyDescent="0.45">
      <c r="A6" s="36" t="s">
        <v>182</v>
      </c>
      <c r="B6" s="36" t="s">
        <v>39</v>
      </c>
      <c r="C6" s="7" t="s">
        <v>0</v>
      </c>
      <c r="D6" s="28">
        <v>43641</v>
      </c>
      <c r="E6" s="28"/>
      <c r="F6" s="28"/>
      <c r="G6" s="3"/>
      <c r="I6"/>
    </row>
    <row r="7" spans="1:9" x14ac:dyDescent="0.45">
      <c r="A7" s="31">
        <v>170805</v>
      </c>
      <c r="C7" s="70"/>
      <c r="D7" s="31">
        <v>210</v>
      </c>
      <c r="G7" s="3"/>
      <c r="H7" s="48"/>
      <c r="I7"/>
    </row>
    <row r="8" spans="1:9" x14ac:dyDescent="0.45">
      <c r="A8" s="31">
        <v>178905</v>
      </c>
      <c r="C8" s="70"/>
      <c r="D8" s="31">
        <v>250</v>
      </c>
      <c r="G8" s="3"/>
      <c r="H8" s="48"/>
      <c r="I8" s="48"/>
    </row>
    <row r="9" spans="1:9" x14ac:dyDescent="0.45">
      <c r="A9" s="69"/>
      <c r="G9" s="3"/>
      <c r="H9" s="48"/>
      <c r="I9" s="49"/>
    </row>
    <row r="10" spans="1:9" x14ac:dyDescent="0.45">
      <c r="G10" s="3"/>
      <c r="H10" s="49"/>
      <c r="I10" s="49"/>
    </row>
    <row r="11" spans="1:9" x14ac:dyDescent="0.45">
      <c r="G11" s="3"/>
      <c r="H11" s="49"/>
      <c r="I11" s="49"/>
    </row>
    <row r="12" spans="1:9" x14ac:dyDescent="0.45">
      <c r="G12" s="3"/>
      <c r="H12" s="49"/>
      <c r="I12" s="49"/>
    </row>
    <row r="13" spans="1:9" x14ac:dyDescent="0.45">
      <c r="G13" s="3"/>
      <c r="H13" s="49"/>
      <c r="I13" s="49"/>
    </row>
    <row r="14" spans="1:9" x14ac:dyDescent="0.45">
      <c r="G14" s="3"/>
      <c r="H14" s="49"/>
      <c r="I14" s="49"/>
    </row>
    <row r="15" spans="1:9" x14ac:dyDescent="0.45">
      <c r="G15" s="3"/>
      <c r="H15" s="49"/>
      <c r="I15" s="49"/>
    </row>
    <row r="16" spans="1:9" x14ac:dyDescent="0.45">
      <c r="B16" s="31">
        <v>170709</v>
      </c>
      <c r="C16" s="70"/>
      <c r="D16" s="31">
        <v>220</v>
      </c>
      <c r="G16" s="3"/>
      <c r="H16" s="49"/>
      <c r="I16" s="49"/>
    </row>
    <row r="17" spans="1:9" x14ac:dyDescent="0.45">
      <c r="G17" s="3"/>
      <c r="H17" s="49"/>
      <c r="I17" s="49"/>
    </row>
    <row r="18" spans="1:9" x14ac:dyDescent="0.45">
      <c r="G18" s="3"/>
      <c r="H18" s="49"/>
      <c r="I18" s="49"/>
    </row>
    <row r="19" spans="1:9" x14ac:dyDescent="0.45">
      <c r="G19" s="3"/>
      <c r="H19" s="49"/>
      <c r="I19" s="49"/>
    </row>
    <row r="20" spans="1:9" x14ac:dyDescent="0.45">
      <c r="B20" s="31" t="s">
        <v>326</v>
      </c>
      <c r="C20" s="70"/>
      <c r="D20" s="31">
        <v>250</v>
      </c>
      <c r="G20" s="3"/>
      <c r="H20" s="48"/>
      <c r="I20" s="49"/>
    </row>
    <row r="21" spans="1:9" x14ac:dyDescent="0.45">
      <c r="G21" s="3"/>
    </row>
    <row r="22" spans="1:9" x14ac:dyDescent="0.45">
      <c r="C22" s="70"/>
      <c r="G22" s="3"/>
    </row>
    <row r="23" spans="1:9" x14ac:dyDescent="0.45">
      <c r="C23" s="70"/>
      <c r="G23" s="3"/>
    </row>
    <row r="24" spans="1:9" x14ac:dyDescent="0.45">
      <c r="G24" s="3"/>
    </row>
    <row r="25" spans="1:9" x14ac:dyDescent="0.45">
      <c r="G25" s="3"/>
    </row>
    <row r="26" spans="1:9" x14ac:dyDescent="0.45">
      <c r="G26" s="3"/>
    </row>
    <row r="27" spans="1:9" x14ac:dyDescent="0.45">
      <c r="G27" s="3"/>
    </row>
    <row r="28" spans="1:9" x14ac:dyDescent="0.45">
      <c r="G28" s="3"/>
    </row>
    <row r="29" spans="1:9" x14ac:dyDescent="0.45">
      <c r="G29" s="3"/>
    </row>
    <row r="30" spans="1:9" x14ac:dyDescent="0.45">
      <c r="A30" s="69"/>
      <c r="G30" s="3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1">
    <tabColor rgb="FF92D050"/>
  </sheetPr>
  <dimension ref="A1:G44"/>
  <sheetViews>
    <sheetView workbookViewId="0">
      <pane ySplit="5" topLeftCell="A16" activePane="bottomLeft" state="frozen"/>
      <selection pane="bottomLeft" activeCell="A25" sqref="A25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0.453125" style="9" bestFit="1" customWidth="1"/>
    <col min="5" max="6" width="9.81640625" style="9" bestFit="1" customWidth="1"/>
    <col min="7" max="16384" width="10.81640625" style="6"/>
  </cols>
  <sheetData>
    <row r="1" spans="1:7" s="16" customFormat="1" ht="17.5" x14ac:dyDescent="0.35">
      <c r="A1" s="43" t="s">
        <v>43</v>
      </c>
      <c r="B1" s="12"/>
      <c r="C1" s="13" t="s">
        <v>114</v>
      </c>
      <c r="D1" s="14">
        <f>COUNT(D7:D40)</f>
        <v>20</v>
      </c>
      <c r="E1" s="14">
        <f>COUNT(E7:E40)</f>
        <v>0</v>
      </c>
      <c r="F1" s="14">
        <f>COUNT(F7:F40)</f>
        <v>0</v>
      </c>
    </row>
    <row r="2" spans="1:7" s="16" customFormat="1" ht="11.5" customHeight="1" x14ac:dyDescent="0.35">
      <c r="A2" s="12" t="s">
        <v>381</v>
      </c>
      <c r="B2" s="12"/>
      <c r="C2" s="13" t="s">
        <v>109</v>
      </c>
      <c r="D2" s="14">
        <f>SUM(D7:D43)</f>
        <v>6715</v>
      </c>
      <c r="E2" s="14">
        <f>SUM(E7:E43)</f>
        <v>0</v>
      </c>
      <c r="F2" s="14">
        <f>SUM(F7:F43)</f>
        <v>0</v>
      </c>
    </row>
    <row r="3" spans="1:7" s="16" customFormat="1" ht="11.5" customHeight="1" x14ac:dyDescent="0.35">
      <c r="A3" s="17"/>
      <c r="B3" s="17"/>
      <c r="C3" s="13" t="s">
        <v>108</v>
      </c>
      <c r="D3" s="14">
        <f>D2/COUNT(D7:D43)</f>
        <v>335.75</v>
      </c>
      <c r="E3" s="14" t="e">
        <f>E2/COUNT(E7:E43)</f>
        <v>#DIV/0!</v>
      </c>
      <c r="F3" s="14" t="e">
        <f>F2/COUNT(F7:F43)</f>
        <v>#DIV/0!</v>
      </c>
    </row>
    <row r="4" spans="1:7" s="16" customFormat="1" ht="11.5" customHeight="1" x14ac:dyDescent="0.35">
      <c r="A4" s="17"/>
      <c r="B4" s="17"/>
      <c r="C4" s="13" t="s">
        <v>110</v>
      </c>
      <c r="D4" s="14"/>
      <c r="E4" s="18"/>
      <c r="F4" s="18" t="e">
        <f>((F2-D2)/(F6-D6))/F1</f>
        <v>#DIV/0!</v>
      </c>
    </row>
    <row r="5" spans="1:7" s="16" customFormat="1" ht="11.5" customHeight="1" x14ac:dyDescent="0.35">
      <c r="A5" s="20"/>
      <c r="B5" s="20"/>
      <c r="C5" s="21" t="s">
        <v>112</v>
      </c>
      <c r="D5" s="22"/>
      <c r="E5" s="23"/>
      <c r="F5" s="30" t="e">
        <f>F4*30</f>
        <v>#DIV/0!</v>
      </c>
    </row>
    <row r="6" spans="1:7" x14ac:dyDescent="0.45">
      <c r="A6" s="36" t="s">
        <v>182</v>
      </c>
      <c r="B6" s="36" t="s">
        <v>39</v>
      </c>
      <c r="C6" s="7" t="s">
        <v>0</v>
      </c>
      <c r="D6" s="28">
        <v>43606</v>
      </c>
      <c r="E6" s="28"/>
      <c r="F6" s="28"/>
    </row>
    <row r="7" spans="1:7" x14ac:dyDescent="0.45">
      <c r="A7"/>
      <c r="B7" t="s">
        <v>44</v>
      </c>
      <c r="C7" s="39"/>
      <c r="D7" s="3">
        <v>260</v>
      </c>
      <c r="E7" s="40"/>
      <c r="F7" s="41"/>
      <c r="G7" s="40"/>
    </row>
    <row r="8" spans="1:7" x14ac:dyDescent="0.45">
      <c r="A8">
        <v>161009</v>
      </c>
      <c r="B8" t="s">
        <v>45</v>
      </c>
      <c r="C8" s="39"/>
      <c r="D8" s="3">
        <v>330</v>
      </c>
      <c r="E8" s="40"/>
      <c r="F8" s="41"/>
      <c r="G8" s="40"/>
    </row>
    <row r="9" spans="1:7" x14ac:dyDescent="0.45">
      <c r="A9"/>
      <c r="B9" t="s">
        <v>46</v>
      </c>
      <c r="C9" s="39"/>
      <c r="D9" s="3">
        <v>225</v>
      </c>
      <c r="E9" s="40"/>
      <c r="F9" s="41"/>
      <c r="G9" s="40"/>
    </row>
    <row r="10" spans="1:7" x14ac:dyDescent="0.45">
      <c r="A10"/>
      <c r="B10" t="s">
        <v>47</v>
      </c>
      <c r="C10" s="39"/>
      <c r="D10" s="3">
        <v>355</v>
      </c>
      <c r="E10" s="40"/>
      <c r="F10" s="41"/>
      <c r="G10" s="40"/>
    </row>
    <row r="11" spans="1:7" x14ac:dyDescent="0.45">
      <c r="A11">
        <v>160603</v>
      </c>
      <c r="B11" t="s">
        <v>48</v>
      </c>
      <c r="C11" s="39"/>
      <c r="D11" s="3">
        <v>365</v>
      </c>
      <c r="E11" s="40"/>
      <c r="F11" s="41"/>
      <c r="G11" s="40"/>
    </row>
    <row r="12" spans="1:7" x14ac:dyDescent="0.45">
      <c r="A12">
        <v>161100</v>
      </c>
      <c r="B12" t="s">
        <v>49</v>
      </c>
      <c r="C12" s="39"/>
      <c r="D12" s="3">
        <v>350</v>
      </c>
      <c r="E12" s="40"/>
      <c r="F12" s="41"/>
      <c r="G12" s="40"/>
    </row>
    <row r="13" spans="1:7" x14ac:dyDescent="0.45">
      <c r="A13"/>
      <c r="B13" t="s">
        <v>50</v>
      </c>
      <c r="C13" s="39"/>
      <c r="D13" s="3">
        <v>340</v>
      </c>
      <c r="E13" s="40"/>
      <c r="F13" s="41"/>
      <c r="G13" s="40"/>
    </row>
    <row r="14" spans="1:7" x14ac:dyDescent="0.45">
      <c r="A14">
        <v>161202</v>
      </c>
      <c r="B14" t="s">
        <v>51</v>
      </c>
      <c r="C14" s="39"/>
      <c r="D14" s="3">
        <v>300</v>
      </c>
      <c r="E14" s="40"/>
      <c r="F14" s="41"/>
      <c r="G14" s="40"/>
    </row>
    <row r="15" spans="1:7" x14ac:dyDescent="0.45">
      <c r="A15">
        <v>161113</v>
      </c>
      <c r="B15" t="s">
        <v>52</v>
      </c>
      <c r="C15" s="39"/>
      <c r="D15" s="3">
        <v>365</v>
      </c>
      <c r="E15" s="40"/>
      <c r="F15" s="41"/>
      <c r="G15" s="40"/>
    </row>
    <row r="16" spans="1:7" x14ac:dyDescent="0.45">
      <c r="A16"/>
      <c r="B16" t="s">
        <v>53</v>
      </c>
      <c r="C16" s="39"/>
      <c r="D16" s="3">
        <v>340</v>
      </c>
      <c r="E16" s="40"/>
      <c r="F16" s="41"/>
      <c r="G16" s="40"/>
    </row>
    <row r="17" spans="1:7" x14ac:dyDescent="0.45">
      <c r="A17">
        <v>161204</v>
      </c>
      <c r="B17" t="s">
        <v>54</v>
      </c>
      <c r="C17" s="39"/>
      <c r="D17" s="3">
        <v>360</v>
      </c>
      <c r="E17" s="40"/>
      <c r="F17" s="41"/>
      <c r="G17" s="40"/>
    </row>
    <row r="18" spans="1:7" x14ac:dyDescent="0.45">
      <c r="A18">
        <v>161110</v>
      </c>
      <c r="B18" t="s">
        <v>55</v>
      </c>
      <c r="C18" s="39"/>
      <c r="D18" s="3">
        <v>355</v>
      </c>
      <c r="E18" s="40"/>
      <c r="F18" s="41"/>
      <c r="G18" s="40"/>
    </row>
    <row r="19" spans="1:7" x14ac:dyDescent="0.45">
      <c r="A19">
        <v>170109</v>
      </c>
      <c r="B19" t="s">
        <v>56</v>
      </c>
      <c r="C19" s="39"/>
      <c r="D19" s="3">
        <v>320</v>
      </c>
      <c r="E19" s="40"/>
      <c r="F19" s="41"/>
      <c r="G19" s="40"/>
    </row>
    <row r="20" spans="1:7" x14ac:dyDescent="0.45">
      <c r="A20">
        <v>160504</v>
      </c>
      <c r="B20" t="s">
        <v>57</v>
      </c>
      <c r="C20" s="39"/>
      <c r="D20" s="3">
        <v>370</v>
      </c>
      <c r="E20" s="40"/>
      <c r="F20" s="41"/>
      <c r="G20" s="40"/>
    </row>
    <row r="21" spans="1:7" x14ac:dyDescent="0.45">
      <c r="A21" t="s">
        <v>58</v>
      </c>
      <c r="B21" t="s">
        <v>59</v>
      </c>
      <c r="C21" s="39"/>
      <c r="D21" s="3">
        <v>350</v>
      </c>
      <c r="E21" s="40"/>
      <c r="F21" s="41"/>
      <c r="G21" s="40"/>
    </row>
    <row r="22" spans="1:7" x14ac:dyDescent="0.45">
      <c r="A22">
        <v>161206</v>
      </c>
      <c r="B22" t="s">
        <v>60</v>
      </c>
      <c r="C22" s="39"/>
      <c r="D22" s="3">
        <v>345</v>
      </c>
      <c r="E22" s="40"/>
      <c r="F22" s="41"/>
      <c r="G22" s="40"/>
    </row>
    <row r="23" spans="1:7" x14ac:dyDescent="0.45">
      <c r="A23">
        <v>160803</v>
      </c>
      <c r="B23" t="s">
        <v>61</v>
      </c>
      <c r="C23" s="39"/>
      <c r="D23" s="33">
        <v>400</v>
      </c>
      <c r="E23" s="40"/>
      <c r="F23" s="41"/>
      <c r="G23" s="40"/>
    </row>
    <row r="24" spans="1:7" x14ac:dyDescent="0.45">
      <c r="A24">
        <v>160714</v>
      </c>
      <c r="B24" t="s">
        <v>62</v>
      </c>
      <c r="C24" s="39"/>
      <c r="D24" s="3">
        <v>360</v>
      </c>
      <c r="E24" s="40"/>
      <c r="F24" s="41"/>
      <c r="G24" s="40"/>
    </row>
    <row r="25" spans="1:7" x14ac:dyDescent="0.45">
      <c r="A25">
        <v>160829</v>
      </c>
      <c r="B25" t="s">
        <v>63</v>
      </c>
      <c r="C25" s="39"/>
      <c r="D25" s="3">
        <v>325</v>
      </c>
      <c r="E25" s="40"/>
      <c r="F25" s="41"/>
      <c r="G25" s="40"/>
    </row>
    <row r="26" spans="1:7" x14ac:dyDescent="0.45">
      <c r="A26">
        <v>170103</v>
      </c>
      <c r="B26" t="s">
        <v>64</v>
      </c>
      <c r="C26" s="39"/>
      <c r="D26" s="3">
        <v>300</v>
      </c>
      <c r="E26" s="40"/>
      <c r="F26" s="41"/>
      <c r="G26" s="40"/>
    </row>
    <row r="27" spans="1:7" x14ac:dyDescent="0.45">
      <c r="A27" s="39"/>
      <c r="B27" s="39"/>
      <c r="C27" s="39"/>
      <c r="D27" s="40"/>
      <c r="E27" s="40"/>
      <c r="F27" s="41"/>
      <c r="G27" s="40"/>
    </row>
    <row r="28" spans="1:7" x14ac:dyDescent="0.45">
      <c r="A28" s="39"/>
      <c r="B28" s="39"/>
      <c r="C28" s="39"/>
      <c r="D28" s="40"/>
      <c r="E28" s="40"/>
      <c r="F28" s="41"/>
      <c r="G28" s="40"/>
    </row>
    <row r="29" spans="1:7" x14ac:dyDescent="0.45">
      <c r="A29" s="39"/>
      <c r="B29" s="39"/>
      <c r="C29" s="39"/>
      <c r="D29" s="40"/>
      <c r="E29" s="40"/>
      <c r="F29" s="41"/>
      <c r="G29" s="40"/>
    </row>
    <row r="30" spans="1:7" x14ac:dyDescent="0.45">
      <c r="A30" s="39"/>
      <c r="B30" s="39"/>
      <c r="C30" s="39"/>
      <c r="D30" s="40"/>
      <c r="E30" s="40"/>
      <c r="F30" s="41"/>
      <c r="G30" s="40"/>
    </row>
    <row r="31" spans="1:7" x14ac:dyDescent="0.45">
      <c r="A31" s="39"/>
      <c r="B31" s="39"/>
      <c r="C31" s="39"/>
      <c r="D31" s="40"/>
      <c r="E31" s="40"/>
      <c r="F31" s="41"/>
      <c r="G31" s="40"/>
    </row>
    <row r="32" spans="1:7" x14ac:dyDescent="0.45">
      <c r="A32" s="39"/>
      <c r="B32" s="39"/>
      <c r="C32" s="39"/>
      <c r="D32" s="40"/>
      <c r="E32" s="40"/>
      <c r="F32" s="41"/>
      <c r="G32" s="40"/>
    </row>
    <row r="33" spans="1:7" x14ac:dyDescent="0.45">
      <c r="A33" s="39"/>
      <c r="B33" s="39"/>
      <c r="C33" s="39"/>
      <c r="D33" s="40"/>
      <c r="E33" s="40"/>
      <c r="F33" s="41"/>
      <c r="G33" s="40"/>
    </row>
    <row r="34" spans="1:7" x14ac:dyDescent="0.45">
      <c r="A34" s="39"/>
      <c r="B34" s="39"/>
      <c r="C34" s="39"/>
      <c r="D34" s="40"/>
      <c r="E34" s="40"/>
      <c r="F34" s="41"/>
      <c r="G34" s="40"/>
    </row>
    <row r="35" spans="1:7" x14ac:dyDescent="0.45">
      <c r="A35" s="39"/>
      <c r="B35" s="39"/>
      <c r="C35" s="39"/>
      <c r="D35" s="40"/>
      <c r="E35" s="40"/>
      <c r="F35" s="41"/>
      <c r="G35" s="40"/>
    </row>
    <row r="36" spans="1:7" x14ac:dyDescent="0.45">
      <c r="A36" s="39"/>
      <c r="B36" s="39"/>
      <c r="C36" s="39"/>
      <c r="D36" s="40"/>
      <c r="E36" s="40"/>
      <c r="F36" s="41"/>
      <c r="G36" s="40"/>
    </row>
    <row r="37" spans="1:7" x14ac:dyDescent="0.45">
      <c r="A37" s="39"/>
      <c r="B37" s="42"/>
      <c r="C37" s="39"/>
      <c r="D37" s="40"/>
      <c r="E37" s="40"/>
      <c r="F37" s="41"/>
      <c r="G37" s="40"/>
    </row>
    <row r="38" spans="1:7" x14ac:dyDescent="0.45">
      <c r="A38" s="31"/>
      <c r="B38" s="31"/>
      <c r="C38" s="32"/>
      <c r="D38" s="31"/>
      <c r="E38" s="31"/>
      <c r="F38" s="31"/>
    </row>
    <row r="39" spans="1:7" x14ac:dyDescent="0.45">
      <c r="A39" s="31"/>
      <c r="B39" s="31"/>
      <c r="C39" s="32"/>
      <c r="D39" s="31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  <row r="43" spans="1:7" x14ac:dyDescent="0.45">
      <c r="A43" s="31"/>
      <c r="B43" s="31"/>
      <c r="C43" s="32"/>
      <c r="D43" s="31"/>
      <c r="E43" s="31"/>
      <c r="F43" s="31"/>
    </row>
    <row r="44" spans="1:7" x14ac:dyDescent="0.45">
      <c r="A44" s="31"/>
      <c r="B44" s="31"/>
      <c r="C44" s="32"/>
      <c r="D44" s="31"/>
      <c r="E44" s="31"/>
      <c r="F44" s="31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4">
    <tabColor rgb="FF92D050"/>
  </sheetPr>
  <dimension ref="A1:O38"/>
  <sheetViews>
    <sheetView workbookViewId="0">
      <pane ySplit="5" topLeftCell="A6" activePane="bottomLeft" state="frozen"/>
      <selection pane="bottomLeft" activeCell="A7" sqref="A7"/>
    </sheetView>
  </sheetViews>
  <sheetFormatPr defaultColWidth="10.81640625" defaultRowHeight="16.5" x14ac:dyDescent="0.45"/>
  <cols>
    <col min="1" max="1" width="13.54296875" style="9" bestFit="1" customWidth="1"/>
    <col min="2" max="2" width="11" style="9" customWidth="1"/>
    <col min="3" max="3" width="19" style="6" bestFit="1" customWidth="1"/>
    <col min="4" max="4" width="19" style="6" customWidth="1"/>
    <col min="5" max="5" width="10.453125" style="9" bestFit="1" customWidth="1"/>
    <col min="6" max="6" width="11" style="9" bestFit="1" customWidth="1"/>
    <col min="7" max="7" width="10.453125" style="9" bestFit="1" customWidth="1"/>
    <col min="8" max="8" width="13.54296875" style="6" bestFit="1" customWidth="1"/>
    <col min="9" max="16384" width="10.81640625" style="6"/>
  </cols>
  <sheetData>
    <row r="1" spans="1:15" s="16" customFormat="1" ht="17.5" x14ac:dyDescent="0.35">
      <c r="A1" s="129" t="s">
        <v>445</v>
      </c>
      <c r="B1" s="129"/>
      <c r="C1" s="13" t="s">
        <v>114</v>
      </c>
      <c r="D1" s="14">
        <f>COUNT(D7:D36)</f>
        <v>30</v>
      </c>
      <c r="E1" s="14">
        <f>COUNT(E7:E36)</f>
        <v>30</v>
      </c>
      <c r="F1" s="14">
        <f>COUNT(F7:F36)</f>
        <v>30</v>
      </c>
      <c r="G1" s="14"/>
      <c r="H1" s="45"/>
    </row>
    <row r="2" spans="1:15" s="16" customFormat="1" ht="11.5" customHeight="1" x14ac:dyDescent="0.35">
      <c r="A2" s="130" t="s">
        <v>187</v>
      </c>
      <c r="B2" s="130"/>
      <c r="C2" s="13" t="s">
        <v>109</v>
      </c>
      <c r="D2" s="14">
        <f>SUM(D7:D37)</f>
        <v>12670</v>
      </c>
      <c r="E2" s="14">
        <f>SUM(E7:E37)</f>
        <v>9606</v>
      </c>
      <c r="F2" s="14">
        <f>SUM(F7:F37)</f>
        <v>11680</v>
      </c>
      <c r="G2" s="14"/>
    </row>
    <row r="3" spans="1:15" s="16" customFormat="1" ht="11.5" customHeight="1" x14ac:dyDescent="0.35">
      <c r="A3" s="17"/>
      <c r="B3" s="17"/>
      <c r="C3" s="13" t="s">
        <v>108</v>
      </c>
      <c r="D3" s="14">
        <f>D2/COUNT(D7:D37)</f>
        <v>422.33333333333331</v>
      </c>
      <c r="E3" s="14">
        <f>E2/COUNT(E7:E37)</f>
        <v>320.2</v>
      </c>
      <c r="F3" s="14">
        <f>F2/COUNT(F7:F37)</f>
        <v>389.33333333333331</v>
      </c>
      <c r="G3" s="14"/>
    </row>
    <row r="4" spans="1:15" s="16" customFormat="1" ht="11.5" customHeight="1" x14ac:dyDescent="0.35">
      <c r="A4" s="17"/>
      <c r="B4" s="17"/>
      <c r="C4" s="13" t="s">
        <v>110</v>
      </c>
      <c r="D4" s="18"/>
      <c r="E4" s="14"/>
      <c r="F4" s="18">
        <f>+((F2-E2)/(F6-E6))/F1</f>
        <v>0.60115942028985514</v>
      </c>
      <c r="G4" s="18"/>
    </row>
    <row r="5" spans="1:15" s="16" customFormat="1" ht="11.5" customHeight="1" x14ac:dyDescent="0.35">
      <c r="A5" s="20"/>
      <c r="B5" s="20"/>
      <c r="C5" s="21" t="s">
        <v>112</v>
      </c>
      <c r="D5" s="30"/>
      <c r="E5" s="22"/>
      <c r="F5" s="23">
        <f>+F4*30</f>
        <v>18.034782608695654</v>
      </c>
      <c r="G5" s="30"/>
    </row>
    <row r="6" spans="1:15" x14ac:dyDescent="0.45">
      <c r="A6" s="36" t="s">
        <v>182</v>
      </c>
      <c r="B6" s="36" t="s">
        <v>39</v>
      </c>
      <c r="C6" s="7" t="s">
        <v>0</v>
      </c>
      <c r="D6" s="28">
        <v>43676</v>
      </c>
      <c r="E6" s="28">
        <v>43526</v>
      </c>
      <c r="F6" s="28">
        <v>43641</v>
      </c>
      <c r="G6" s="28"/>
      <c r="H6" s="47" t="s">
        <v>112</v>
      </c>
    </row>
    <row r="7" spans="1:15" x14ac:dyDescent="0.45">
      <c r="A7" s="9">
        <v>9201</v>
      </c>
      <c r="C7" s="6" t="s">
        <v>120</v>
      </c>
      <c r="D7" s="9">
        <v>384</v>
      </c>
      <c r="E7" s="9">
        <v>306</v>
      </c>
      <c r="F7" s="40">
        <v>360</v>
      </c>
      <c r="H7" s="41">
        <v>15.600000000000001</v>
      </c>
      <c r="I7"/>
    </row>
    <row r="8" spans="1:15" x14ac:dyDescent="0.45">
      <c r="A8" s="9">
        <v>9202</v>
      </c>
      <c r="C8" s="6" t="s">
        <v>309</v>
      </c>
      <c r="D8" s="9">
        <v>350</v>
      </c>
      <c r="E8" s="9">
        <v>280</v>
      </c>
      <c r="F8" s="40">
        <v>330</v>
      </c>
      <c r="H8" s="41">
        <v>14</v>
      </c>
      <c r="I8"/>
    </row>
    <row r="9" spans="1:15" x14ac:dyDescent="0.45">
      <c r="A9" s="9">
        <v>9203</v>
      </c>
      <c r="C9" s="6" t="s">
        <v>310</v>
      </c>
      <c r="D9" s="9">
        <v>455</v>
      </c>
      <c r="E9" s="9">
        <v>356</v>
      </c>
      <c r="F9" s="40">
        <v>430</v>
      </c>
      <c r="H9" s="41">
        <v>19.8</v>
      </c>
      <c r="I9"/>
      <c r="J9"/>
    </row>
    <row r="10" spans="1:15" x14ac:dyDescent="0.45">
      <c r="A10" s="9">
        <v>9204</v>
      </c>
      <c r="C10" s="6" t="s">
        <v>181</v>
      </c>
      <c r="D10" s="9">
        <v>400</v>
      </c>
      <c r="E10" s="9">
        <v>250</v>
      </c>
      <c r="F10" s="40">
        <v>350</v>
      </c>
      <c r="H10" s="41">
        <v>30</v>
      </c>
      <c r="I10"/>
      <c r="J10"/>
    </row>
    <row r="11" spans="1:15" x14ac:dyDescent="0.45">
      <c r="A11" s="9">
        <v>9205</v>
      </c>
      <c r="C11" s="6" t="s">
        <v>292</v>
      </c>
      <c r="D11" s="9">
        <v>456</v>
      </c>
      <c r="E11" s="9">
        <v>382</v>
      </c>
      <c r="F11" s="40">
        <v>425</v>
      </c>
      <c r="H11" s="41">
        <v>14.8</v>
      </c>
      <c r="I11"/>
      <c r="J11"/>
    </row>
    <row r="12" spans="1:15" x14ac:dyDescent="0.45">
      <c r="A12" s="9">
        <v>9206</v>
      </c>
      <c r="C12" s="6" t="s">
        <v>311</v>
      </c>
      <c r="D12" s="9">
        <v>464</v>
      </c>
      <c r="E12" s="9">
        <v>338</v>
      </c>
      <c r="F12" s="40">
        <v>420</v>
      </c>
      <c r="H12" s="41">
        <v>25.2</v>
      </c>
      <c r="J12"/>
    </row>
    <row r="13" spans="1:15" x14ac:dyDescent="0.45">
      <c r="A13" s="9">
        <v>9207</v>
      </c>
      <c r="C13" s="6" t="s">
        <v>181</v>
      </c>
      <c r="D13" s="9">
        <v>395</v>
      </c>
      <c r="E13" s="9">
        <v>300</v>
      </c>
      <c r="F13" s="40">
        <v>370</v>
      </c>
      <c r="H13" s="41">
        <v>19</v>
      </c>
      <c r="J13"/>
    </row>
    <row r="14" spans="1:15" x14ac:dyDescent="0.45">
      <c r="A14" s="9">
        <v>9208</v>
      </c>
      <c r="C14" s="6" t="s">
        <v>105</v>
      </c>
      <c r="D14" s="9">
        <v>448</v>
      </c>
      <c r="E14" s="9">
        <v>315</v>
      </c>
      <c r="F14" s="40">
        <v>415</v>
      </c>
      <c r="H14" s="41">
        <v>26.6</v>
      </c>
      <c r="J14"/>
      <c r="O14" s="47"/>
    </row>
    <row r="15" spans="1:15" x14ac:dyDescent="0.45">
      <c r="A15" s="9">
        <v>9211</v>
      </c>
      <c r="C15" s="6" t="s">
        <v>74</v>
      </c>
      <c r="D15" s="9">
        <v>428</v>
      </c>
      <c r="E15" s="9">
        <v>280</v>
      </c>
      <c r="F15" s="40">
        <v>390</v>
      </c>
      <c r="H15" s="41">
        <v>29.6</v>
      </c>
    </row>
    <row r="16" spans="1:15" x14ac:dyDescent="0.45">
      <c r="A16" s="9">
        <v>9212</v>
      </c>
      <c r="C16" s="6" t="s">
        <v>15</v>
      </c>
      <c r="D16" s="9">
        <v>400</v>
      </c>
      <c r="E16" s="9">
        <v>320</v>
      </c>
      <c r="F16" s="40">
        <v>370</v>
      </c>
      <c r="H16" s="41">
        <v>16</v>
      </c>
    </row>
    <row r="17" spans="1:8" x14ac:dyDescent="0.45">
      <c r="A17" s="9">
        <v>9213</v>
      </c>
      <c r="C17" s="6" t="s">
        <v>312</v>
      </c>
      <c r="D17" s="9">
        <v>457</v>
      </c>
      <c r="E17" s="9">
        <v>330</v>
      </c>
      <c r="F17" s="40">
        <v>415</v>
      </c>
      <c r="H17" s="41">
        <v>25.4</v>
      </c>
    </row>
    <row r="18" spans="1:8" x14ac:dyDescent="0.45">
      <c r="A18" s="9">
        <v>9214</v>
      </c>
      <c r="C18" s="6" t="s">
        <v>27</v>
      </c>
      <c r="D18" s="9">
        <v>394</v>
      </c>
      <c r="E18" s="9">
        <v>292</v>
      </c>
      <c r="F18" s="40">
        <v>380</v>
      </c>
      <c r="H18" s="41">
        <v>20.400000000000002</v>
      </c>
    </row>
    <row r="19" spans="1:8" x14ac:dyDescent="0.45">
      <c r="A19" s="9">
        <v>9215</v>
      </c>
      <c r="C19" s="6" t="s">
        <v>19</v>
      </c>
      <c r="D19" s="9">
        <v>356</v>
      </c>
      <c r="E19" s="9">
        <v>272</v>
      </c>
      <c r="F19" s="40">
        <v>330</v>
      </c>
      <c r="H19" s="41">
        <v>16.8</v>
      </c>
    </row>
    <row r="20" spans="1:8" x14ac:dyDescent="0.45">
      <c r="A20" s="9">
        <v>9217</v>
      </c>
      <c r="C20" s="6" t="s">
        <v>27</v>
      </c>
      <c r="D20" s="9">
        <v>420</v>
      </c>
      <c r="E20" s="9">
        <v>318</v>
      </c>
      <c r="F20" s="40">
        <v>390</v>
      </c>
      <c r="H20" s="41">
        <v>20.400000000000002</v>
      </c>
    </row>
    <row r="21" spans="1:8" x14ac:dyDescent="0.45">
      <c r="A21" s="9">
        <v>9218</v>
      </c>
      <c r="C21" s="6" t="s">
        <v>15</v>
      </c>
      <c r="D21" s="9">
        <v>465</v>
      </c>
      <c r="E21" s="9">
        <v>328</v>
      </c>
      <c r="F21" s="40">
        <v>430</v>
      </c>
      <c r="H21" s="41">
        <v>27.4</v>
      </c>
    </row>
    <row r="22" spans="1:8" x14ac:dyDescent="0.45">
      <c r="A22" s="9">
        <v>9219</v>
      </c>
      <c r="C22" s="6" t="s">
        <v>119</v>
      </c>
      <c r="D22" s="9">
        <v>415</v>
      </c>
      <c r="E22" s="9">
        <v>286</v>
      </c>
      <c r="F22" s="40">
        <v>390</v>
      </c>
      <c r="H22" s="41">
        <v>25.8</v>
      </c>
    </row>
    <row r="23" spans="1:8" x14ac:dyDescent="0.45">
      <c r="A23" s="9">
        <v>9220</v>
      </c>
      <c r="C23" s="6" t="s">
        <v>313</v>
      </c>
      <c r="D23" s="9">
        <v>470</v>
      </c>
      <c r="E23" s="9">
        <v>348</v>
      </c>
      <c r="F23" s="40">
        <v>420</v>
      </c>
      <c r="H23" s="41">
        <v>24.400000000000002</v>
      </c>
    </row>
    <row r="24" spans="1:8" x14ac:dyDescent="0.45">
      <c r="A24" s="9">
        <v>9221</v>
      </c>
      <c r="C24" s="6" t="s">
        <v>27</v>
      </c>
      <c r="D24" s="9">
        <v>475</v>
      </c>
      <c r="E24" s="9">
        <v>345</v>
      </c>
      <c r="F24" s="40">
        <v>440</v>
      </c>
      <c r="H24" s="41">
        <v>26</v>
      </c>
    </row>
    <row r="25" spans="1:8" x14ac:dyDescent="0.45">
      <c r="A25" s="9">
        <v>9222</v>
      </c>
      <c r="C25" s="6" t="s">
        <v>314</v>
      </c>
      <c r="D25" s="9">
        <v>414</v>
      </c>
      <c r="E25" s="9">
        <v>346</v>
      </c>
      <c r="F25" s="40">
        <v>380</v>
      </c>
      <c r="H25" s="41">
        <v>13.6</v>
      </c>
    </row>
    <row r="26" spans="1:8" x14ac:dyDescent="0.45">
      <c r="A26" s="9">
        <v>9223</v>
      </c>
      <c r="C26" s="6" t="s">
        <v>23</v>
      </c>
      <c r="D26" s="9">
        <v>450</v>
      </c>
      <c r="E26" s="9">
        <v>332</v>
      </c>
      <c r="F26" s="40">
        <v>410</v>
      </c>
      <c r="H26" s="41">
        <v>23.599999999999998</v>
      </c>
    </row>
    <row r="27" spans="1:8" x14ac:dyDescent="0.45">
      <c r="A27" s="9">
        <v>9224</v>
      </c>
      <c r="C27" s="6" t="s">
        <v>23</v>
      </c>
      <c r="D27" s="9">
        <v>391</v>
      </c>
      <c r="E27" s="9">
        <v>312</v>
      </c>
      <c r="F27" s="40">
        <v>370</v>
      </c>
      <c r="H27" s="41">
        <v>15.799999999999999</v>
      </c>
    </row>
    <row r="28" spans="1:8" x14ac:dyDescent="0.45">
      <c r="A28" s="9">
        <v>9225</v>
      </c>
      <c r="C28" s="6" t="s">
        <v>23</v>
      </c>
      <c r="D28" s="9">
        <v>385</v>
      </c>
      <c r="E28" s="9">
        <v>300</v>
      </c>
      <c r="F28" s="40">
        <v>360</v>
      </c>
      <c r="H28" s="41">
        <v>17</v>
      </c>
    </row>
    <row r="29" spans="1:8" x14ac:dyDescent="0.45">
      <c r="A29" s="9">
        <v>9226</v>
      </c>
      <c r="C29" s="6" t="s">
        <v>106</v>
      </c>
      <c r="D29" s="9">
        <v>410</v>
      </c>
      <c r="E29" s="9">
        <v>310</v>
      </c>
      <c r="F29" s="40">
        <v>370</v>
      </c>
      <c r="H29" s="41">
        <v>20</v>
      </c>
    </row>
    <row r="30" spans="1:8" x14ac:dyDescent="0.45">
      <c r="A30" s="9">
        <v>9228</v>
      </c>
      <c r="C30" s="6" t="s">
        <v>16</v>
      </c>
      <c r="D30" s="9">
        <v>472</v>
      </c>
      <c r="E30" s="9">
        <v>380</v>
      </c>
      <c r="F30" s="40">
        <v>445</v>
      </c>
      <c r="H30" s="41">
        <v>18.399999999999999</v>
      </c>
    </row>
    <row r="31" spans="1:8" x14ac:dyDescent="0.45">
      <c r="A31" s="9">
        <v>9229</v>
      </c>
      <c r="C31" s="6" t="s">
        <v>16</v>
      </c>
      <c r="D31" s="9">
        <v>400</v>
      </c>
      <c r="E31" s="9">
        <v>350</v>
      </c>
      <c r="F31" s="40">
        <v>370</v>
      </c>
      <c r="H31" s="41">
        <v>10</v>
      </c>
    </row>
    <row r="32" spans="1:8" x14ac:dyDescent="0.45">
      <c r="A32" s="9">
        <v>9230</v>
      </c>
      <c r="C32" s="6" t="s">
        <v>315</v>
      </c>
      <c r="D32" s="9">
        <v>351</v>
      </c>
      <c r="E32" s="9">
        <v>270</v>
      </c>
      <c r="F32" s="40">
        <v>330</v>
      </c>
      <c r="H32" s="41">
        <v>16.200000000000003</v>
      </c>
    </row>
    <row r="33" spans="1:8" x14ac:dyDescent="0.45">
      <c r="A33" s="9">
        <v>9231</v>
      </c>
      <c r="C33" s="6" t="s">
        <v>9</v>
      </c>
      <c r="D33" s="9">
        <v>470</v>
      </c>
      <c r="E33" s="9">
        <v>380</v>
      </c>
      <c r="F33" s="40">
        <v>430</v>
      </c>
      <c r="H33" s="41">
        <v>18</v>
      </c>
    </row>
    <row r="34" spans="1:8" x14ac:dyDescent="0.45">
      <c r="A34" s="9">
        <v>9232</v>
      </c>
      <c r="C34" s="6" t="s">
        <v>316</v>
      </c>
      <c r="D34" s="31">
        <v>480</v>
      </c>
      <c r="E34" s="9">
        <v>330</v>
      </c>
      <c r="F34" s="41">
        <v>420</v>
      </c>
      <c r="G34" s="31"/>
      <c r="H34" s="41">
        <v>30</v>
      </c>
    </row>
    <row r="35" spans="1:8" x14ac:dyDescent="0.45">
      <c r="A35" s="9">
        <v>9233</v>
      </c>
      <c r="C35" s="6" t="s">
        <v>251</v>
      </c>
      <c r="D35" s="31">
        <v>416</v>
      </c>
      <c r="E35" s="9">
        <v>350</v>
      </c>
      <c r="F35" s="41">
        <v>390</v>
      </c>
      <c r="G35" s="31"/>
      <c r="H35" s="41">
        <v>13.2</v>
      </c>
    </row>
    <row r="36" spans="1:8" x14ac:dyDescent="0.45">
      <c r="A36" s="9">
        <v>9234</v>
      </c>
      <c r="C36" s="6" t="s">
        <v>258</v>
      </c>
      <c r="D36" s="31">
        <v>399</v>
      </c>
      <c r="E36" s="9">
        <v>300</v>
      </c>
      <c r="F36" s="41">
        <v>350</v>
      </c>
      <c r="G36" s="31"/>
      <c r="H36" s="41">
        <v>19.8</v>
      </c>
    </row>
    <row r="37" spans="1:8" x14ac:dyDescent="0.45">
      <c r="A37" s="31"/>
      <c r="B37" s="31"/>
      <c r="C37" s="32"/>
      <c r="D37" s="32"/>
      <c r="E37" s="31"/>
      <c r="F37" s="31"/>
      <c r="G37" s="31"/>
    </row>
    <row r="38" spans="1:8" x14ac:dyDescent="0.45">
      <c r="A38" s="31"/>
      <c r="B38" s="31"/>
      <c r="C38" s="32"/>
      <c r="D38" s="32"/>
      <c r="E38" s="31"/>
      <c r="F38" s="31"/>
      <c r="G38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5">
    <tabColor rgb="FF92D050"/>
  </sheetPr>
  <dimension ref="A1:K25"/>
  <sheetViews>
    <sheetView tabSelected="1" workbookViewId="0">
      <pane ySplit="5" topLeftCell="A6" activePane="bottomLeft" state="frozen"/>
      <selection pane="bottomLeft" activeCell="F18" sqref="F18"/>
    </sheetView>
  </sheetViews>
  <sheetFormatPr defaultColWidth="10.81640625" defaultRowHeight="16.5" x14ac:dyDescent="0.45"/>
  <cols>
    <col min="1" max="1" width="11" style="9" bestFit="1" customWidth="1"/>
    <col min="2" max="2" width="16.81640625" style="6" bestFit="1" customWidth="1"/>
    <col min="3" max="4" width="16.81640625" style="6" customWidth="1"/>
    <col min="5" max="7" width="11" style="9" bestFit="1" customWidth="1"/>
    <col min="8" max="9" width="11" style="9" customWidth="1"/>
    <col min="10" max="10" width="11" style="5" bestFit="1" customWidth="1"/>
    <col min="11" max="16384" width="10.81640625" style="6"/>
  </cols>
  <sheetData>
    <row r="1" spans="1:11" s="16" customFormat="1" ht="11.5" customHeight="1" x14ac:dyDescent="0.35">
      <c r="A1" s="12" t="s">
        <v>383</v>
      </c>
      <c r="B1" s="13" t="s">
        <v>114</v>
      </c>
      <c r="C1" s="13"/>
      <c r="D1" s="14">
        <f>COUNT(D7:D34)</f>
        <v>19</v>
      </c>
      <c r="E1" s="14">
        <f>COUNT(E7:E34)</f>
        <v>19</v>
      </c>
      <c r="F1" s="14">
        <f>COUNT(F7:F34)</f>
        <v>19</v>
      </c>
      <c r="G1" s="14"/>
      <c r="H1" s="14"/>
      <c r="I1" s="14"/>
      <c r="J1" s="15"/>
    </row>
    <row r="2" spans="1:11" s="16" customFormat="1" ht="11.5" customHeight="1" x14ac:dyDescent="0.35">
      <c r="A2" s="12" t="s">
        <v>360</v>
      </c>
      <c r="B2" s="13" t="s">
        <v>109</v>
      </c>
      <c r="C2" s="13"/>
      <c r="D2" s="14">
        <f>SUM(D7:D37)</f>
        <v>6090</v>
      </c>
      <c r="E2" s="14">
        <f>SUM(E7:E37)</f>
        <v>4170</v>
      </c>
      <c r="F2" s="14">
        <f>SUM(F7:F37)</f>
        <v>4665</v>
      </c>
      <c r="G2" s="14"/>
      <c r="H2" s="14"/>
      <c r="I2" s="14"/>
      <c r="J2" s="15"/>
    </row>
    <row r="3" spans="1:11" s="16" customFormat="1" ht="11.5" customHeight="1" x14ac:dyDescent="0.35">
      <c r="A3" s="17"/>
      <c r="B3" s="13" t="s">
        <v>108</v>
      </c>
      <c r="C3" s="13"/>
      <c r="D3" s="14">
        <f>D2/COUNT(D7:D37)</f>
        <v>320.5263157894737</v>
      </c>
      <c r="E3" s="14">
        <f>E2/COUNT(E7:E37)</f>
        <v>219.47368421052633</v>
      </c>
      <c r="F3" s="14">
        <f>F2/COUNT(F7:F37)</f>
        <v>245.52631578947367</v>
      </c>
      <c r="G3" s="14"/>
      <c r="H3" s="14"/>
      <c r="I3" s="14"/>
      <c r="J3" s="15"/>
    </row>
    <row r="4" spans="1:11" s="16" customFormat="1" ht="11.5" customHeight="1" x14ac:dyDescent="0.35">
      <c r="A4" s="17"/>
      <c r="B4" s="13" t="s">
        <v>110</v>
      </c>
      <c r="C4" s="13"/>
      <c r="D4" s="18"/>
      <c r="E4" s="14"/>
      <c r="F4" s="18"/>
      <c r="G4" s="18"/>
      <c r="H4" s="18"/>
      <c r="I4" s="18"/>
      <c r="J4" s="19"/>
    </row>
    <row r="5" spans="1:11" s="16" customFormat="1" ht="11.5" customHeight="1" x14ac:dyDescent="0.35">
      <c r="A5" s="20"/>
      <c r="B5" s="21" t="s">
        <v>112</v>
      </c>
      <c r="C5" s="21"/>
      <c r="D5" s="30"/>
      <c r="E5" s="22"/>
      <c r="F5" s="23"/>
      <c r="G5" s="30"/>
      <c r="H5" s="30"/>
      <c r="I5" s="30"/>
      <c r="J5" s="24"/>
    </row>
    <row r="6" spans="1:11" x14ac:dyDescent="0.45">
      <c r="A6" s="29" t="s">
        <v>111</v>
      </c>
      <c r="B6" s="7" t="s">
        <v>0</v>
      </c>
      <c r="C6" s="7"/>
      <c r="D6" s="28">
        <v>43609</v>
      </c>
      <c r="E6" s="28">
        <v>43370</v>
      </c>
      <c r="F6" s="28">
        <v>43403</v>
      </c>
      <c r="G6" s="28"/>
      <c r="H6" s="28">
        <v>43466</v>
      </c>
      <c r="I6" s="28"/>
      <c r="J6" s="28" t="s">
        <v>530</v>
      </c>
      <c r="K6" s="8"/>
    </row>
    <row r="7" spans="1:11" x14ac:dyDescent="0.45">
      <c r="A7" s="9">
        <v>8479</v>
      </c>
      <c r="B7" s="6" t="s">
        <v>23</v>
      </c>
      <c r="D7" s="9">
        <v>350</v>
      </c>
      <c r="E7" s="9">
        <v>250</v>
      </c>
      <c r="F7" s="9">
        <v>270</v>
      </c>
      <c r="J7" s="27">
        <v>12.552301255230125</v>
      </c>
    </row>
    <row r="8" spans="1:11" x14ac:dyDescent="0.45">
      <c r="A8" s="9">
        <v>8480</v>
      </c>
      <c r="B8" s="6" t="s">
        <v>9</v>
      </c>
      <c r="D8" s="9">
        <v>270</v>
      </c>
      <c r="E8" s="9">
        <v>160</v>
      </c>
      <c r="F8" s="9">
        <v>180</v>
      </c>
      <c r="J8" s="27">
        <v>13.807531380753137</v>
      </c>
    </row>
    <row r="9" spans="1:11" x14ac:dyDescent="0.45">
      <c r="A9" s="9">
        <v>8483</v>
      </c>
      <c r="B9" s="6" t="s">
        <v>18</v>
      </c>
      <c r="D9" s="9">
        <v>350</v>
      </c>
      <c r="E9" s="9">
        <v>250</v>
      </c>
      <c r="F9" s="9">
        <v>275</v>
      </c>
      <c r="H9" s="31"/>
      <c r="I9" s="31"/>
      <c r="J9" s="27">
        <v>12.552301255230125</v>
      </c>
    </row>
    <row r="10" spans="1:11" x14ac:dyDescent="0.45">
      <c r="A10" s="9">
        <v>8484</v>
      </c>
      <c r="B10" s="6" t="s">
        <v>101</v>
      </c>
      <c r="D10" s="9">
        <v>350</v>
      </c>
      <c r="E10" s="9">
        <v>250</v>
      </c>
      <c r="F10" s="9">
        <v>275</v>
      </c>
      <c r="H10" s="31"/>
      <c r="I10" s="31"/>
      <c r="J10" s="27">
        <v>12.552301255230125</v>
      </c>
    </row>
    <row r="11" spans="1:11" x14ac:dyDescent="0.45">
      <c r="A11" s="9">
        <v>8485</v>
      </c>
      <c r="B11" s="6" t="s">
        <v>102</v>
      </c>
      <c r="D11" s="9">
        <v>320</v>
      </c>
      <c r="E11" s="9">
        <v>210</v>
      </c>
      <c r="F11" s="9">
        <v>240</v>
      </c>
      <c r="H11" s="31"/>
      <c r="I11" s="31"/>
      <c r="J11" s="27">
        <v>13.807531380753137</v>
      </c>
    </row>
    <row r="12" spans="1:11" x14ac:dyDescent="0.45">
      <c r="A12" s="9">
        <v>8487</v>
      </c>
      <c r="B12" s="6" t="s">
        <v>103</v>
      </c>
      <c r="D12" s="9">
        <v>330</v>
      </c>
      <c r="E12" s="9">
        <v>230</v>
      </c>
      <c r="F12" s="9">
        <v>265</v>
      </c>
      <c r="H12" s="31"/>
      <c r="I12" s="31"/>
      <c r="J12" s="27">
        <v>12.552301255230125</v>
      </c>
    </row>
    <row r="13" spans="1:11" x14ac:dyDescent="0.45">
      <c r="A13" s="9">
        <v>8489</v>
      </c>
      <c r="B13" s="6" t="s">
        <v>16</v>
      </c>
      <c r="D13" s="9">
        <v>330</v>
      </c>
      <c r="E13" s="9">
        <v>210</v>
      </c>
      <c r="F13" s="9">
        <v>255</v>
      </c>
      <c r="H13" s="31"/>
      <c r="I13" s="31"/>
      <c r="J13" s="27">
        <v>15.06276150627615</v>
      </c>
    </row>
    <row r="14" spans="1:11" x14ac:dyDescent="0.45">
      <c r="A14" s="9">
        <v>8490</v>
      </c>
      <c r="B14" s="6" t="s">
        <v>15</v>
      </c>
      <c r="C14" s="9"/>
      <c r="D14" s="9">
        <v>300</v>
      </c>
      <c r="E14" s="9">
        <v>230</v>
      </c>
      <c r="F14" s="9">
        <v>250</v>
      </c>
      <c r="H14" s="31"/>
      <c r="I14" s="31"/>
      <c r="J14" s="27">
        <v>8.7866108786610866</v>
      </c>
    </row>
    <row r="15" spans="1:11" x14ac:dyDescent="0.45">
      <c r="A15" s="9">
        <v>8491</v>
      </c>
      <c r="B15" s="6" t="s">
        <v>104</v>
      </c>
      <c r="D15" s="9">
        <v>320</v>
      </c>
      <c r="E15" s="9">
        <v>190</v>
      </c>
      <c r="F15" s="9">
        <v>220</v>
      </c>
      <c r="H15" s="31"/>
      <c r="I15" s="31"/>
      <c r="J15" s="27">
        <v>16.317991631799163</v>
      </c>
    </row>
    <row r="16" spans="1:11" x14ac:dyDescent="0.45">
      <c r="A16" s="9">
        <v>8492</v>
      </c>
      <c r="B16" s="6" t="s">
        <v>23</v>
      </c>
      <c r="D16" s="9">
        <v>370</v>
      </c>
      <c r="E16" s="9">
        <v>270</v>
      </c>
      <c r="F16" s="9">
        <v>295</v>
      </c>
      <c r="H16" s="31"/>
      <c r="I16" s="31"/>
      <c r="J16" s="27">
        <v>12.552301255230125</v>
      </c>
    </row>
    <row r="17" spans="1:10" x14ac:dyDescent="0.45">
      <c r="A17" s="9">
        <v>8493</v>
      </c>
      <c r="B17" s="6" t="s">
        <v>16</v>
      </c>
      <c r="D17" s="9">
        <v>370</v>
      </c>
      <c r="E17" s="9">
        <v>250</v>
      </c>
      <c r="F17" s="9">
        <v>280</v>
      </c>
      <c r="H17" s="31"/>
      <c r="I17" s="31"/>
      <c r="J17" s="27">
        <v>15.06276150627615</v>
      </c>
    </row>
    <row r="18" spans="1:10" x14ac:dyDescent="0.45">
      <c r="A18" s="9">
        <v>8494</v>
      </c>
      <c r="B18" s="6" t="s">
        <v>103</v>
      </c>
      <c r="D18" s="9">
        <v>320</v>
      </c>
      <c r="E18" s="9">
        <v>220</v>
      </c>
      <c r="F18" s="9">
        <v>255</v>
      </c>
      <c r="H18" s="31"/>
      <c r="I18" s="31"/>
      <c r="J18" s="27">
        <v>12.552301255230125</v>
      </c>
    </row>
    <row r="19" spans="1:10" x14ac:dyDescent="0.45">
      <c r="A19" s="9">
        <v>8496</v>
      </c>
      <c r="B19" s="6" t="s">
        <v>105</v>
      </c>
      <c r="D19" s="9">
        <v>350</v>
      </c>
      <c r="E19" s="9">
        <v>190</v>
      </c>
      <c r="F19" s="9">
        <v>225</v>
      </c>
      <c r="H19" s="31"/>
      <c r="I19" s="31"/>
      <c r="J19" s="27">
        <v>20.0836820083682</v>
      </c>
    </row>
    <row r="20" spans="1:10" x14ac:dyDescent="0.45">
      <c r="A20" s="9">
        <v>8497</v>
      </c>
      <c r="B20" s="6" t="s">
        <v>12</v>
      </c>
      <c r="D20" s="9">
        <v>300</v>
      </c>
      <c r="E20" s="9">
        <v>180</v>
      </c>
      <c r="F20" s="9">
        <v>200</v>
      </c>
      <c r="H20" s="31"/>
      <c r="I20" s="31"/>
      <c r="J20" s="27">
        <v>15.06276150627615</v>
      </c>
    </row>
    <row r="21" spans="1:10" x14ac:dyDescent="0.45">
      <c r="A21" s="9">
        <v>8498</v>
      </c>
      <c r="B21" s="6" t="s">
        <v>16</v>
      </c>
      <c r="D21" s="9">
        <v>300</v>
      </c>
      <c r="E21" s="9">
        <v>230</v>
      </c>
      <c r="F21" s="9">
        <v>240</v>
      </c>
      <c r="H21" s="31"/>
      <c r="I21" s="31"/>
      <c r="J21" s="27">
        <v>8.7866108786610866</v>
      </c>
    </row>
    <row r="22" spans="1:10" x14ac:dyDescent="0.45">
      <c r="A22" s="9">
        <v>8499</v>
      </c>
      <c r="B22" s="6" t="s">
        <v>17</v>
      </c>
      <c r="D22" s="9">
        <v>310</v>
      </c>
      <c r="E22" s="9">
        <v>230</v>
      </c>
      <c r="F22" s="9">
        <v>265</v>
      </c>
      <c r="H22" s="31"/>
      <c r="I22" s="31"/>
      <c r="J22" s="27">
        <v>10.0418410041841</v>
      </c>
    </row>
    <row r="23" spans="1:10" x14ac:dyDescent="0.45">
      <c r="A23" s="9">
        <v>84100</v>
      </c>
      <c r="B23" s="6" t="s">
        <v>106</v>
      </c>
      <c r="D23" s="9">
        <v>250</v>
      </c>
      <c r="E23" s="9">
        <v>180</v>
      </c>
      <c r="F23" s="9">
        <v>195</v>
      </c>
      <c r="H23" s="31"/>
      <c r="I23" s="31"/>
      <c r="J23" s="27">
        <v>8.7866108786610866</v>
      </c>
    </row>
    <row r="24" spans="1:10" x14ac:dyDescent="0.45">
      <c r="A24" s="9">
        <v>84101</v>
      </c>
      <c r="B24" s="6" t="s">
        <v>107</v>
      </c>
      <c r="D24" s="9">
        <v>250</v>
      </c>
      <c r="E24" s="9">
        <v>220</v>
      </c>
      <c r="F24" s="9">
        <v>230</v>
      </c>
      <c r="H24" s="31"/>
      <c r="I24" s="31"/>
      <c r="J24" s="27">
        <v>3.7656903765690375</v>
      </c>
    </row>
    <row r="25" spans="1:10" x14ac:dyDescent="0.45">
      <c r="A25" s="9">
        <v>84103</v>
      </c>
      <c r="B25" s="6" t="s">
        <v>101</v>
      </c>
      <c r="D25" s="9">
        <v>350</v>
      </c>
      <c r="E25" s="9">
        <v>220</v>
      </c>
      <c r="F25" s="9">
        <v>250</v>
      </c>
      <c r="J25" s="27">
        <v>16.317991631799163</v>
      </c>
    </row>
  </sheetData>
  <conditionalFormatting sqref="J7:J25">
    <cfRule type="cellIs" dxfId="2" priority="1" operator="lessThan">
      <formula>13</formula>
    </cfRule>
    <cfRule type="cellIs" dxfId="1" priority="3" operator="lessThan">
      <formula>0.416</formula>
    </cfRule>
  </conditionalFormatting>
  <pageMargins left="0.7" right="0.7" top="0.75" bottom="0.75" header="0.3" footer="0.3"/>
  <pageSetup orientation="portrait" horizontalDpi="4294967295" verticalDpi="4294967295" r:id="rId1"/>
  <ignoredErrors>
    <ignoredError sqref="E1:E3 F1:F3" formulaRange="1"/>
  </ignoredError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6">
    <tabColor rgb="FF92D050"/>
  </sheetPr>
  <dimension ref="A1:F46"/>
  <sheetViews>
    <sheetView workbookViewId="0">
      <pane ySplit="5" topLeftCell="A18" activePane="bottomLeft" state="frozen"/>
      <selection pane="bottomLeft" activeCell="M16" sqref="M16"/>
    </sheetView>
  </sheetViews>
  <sheetFormatPr defaultColWidth="10.81640625" defaultRowHeight="16.5" x14ac:dyDescent="0.45"/>
  <cols>
    <col min="1" max="1" width="11" style="9" bestFit="1" customWidth="1"/>
    <col min="2" max="2" width="15.26953125" style="6" bestFit="1" customWidth="1"/>
    <col min="3" max="3" width="11.54296875" style="9" customWidth="1"/>
    <col min="4" max="4" width="10.453125" style="9" bestFit="1" customWidth="1"/>
    <col min="5" max="5" width="11.26953125" style="9" customWidth="1"/>
    <col min="6" max="16384" width="10.81640625" style="6"/>
  </cols>
  <sheetData>
    <row r="1" spans="1:6" s="16" customFormat="1" ht="11.5" customHeight="1" x14ac:dyDescent="0.35">
      <c r="A1" s="67" t="s">
        <v>132</v>
      </c>
      <c r="B1" s="13" t="s">
        <v>114</v>
      </c>
      <c r="C1" s="14">
        <f>COUNT(C7:C42)</f>
        <v>9</v>
      </c>
      <c r="D1" s="14">
        <f>COUNT(D7:D42)</f>
        <v>31</v>
      </c>
      <c r="E1" s="14">
        <f>COUNT(E7:E42)</f>
        <v>0</v>
      </c>
    </row>
    <row r="2" spans="1:6" s="16" customFormat="1" ht="11.5" customHeight="1" x14ac:dyDescent="0.35">
      <c r="A2" s="68" t="s">
        <v>188</v>
      </c>
      <c r="B2" s="13" t="s">
        <v>109</v>
      </c>
      <c r="C2" s="14">
        <f>SUM(C7:C45)</f>
        <v>2018</v>
      </c>
      <c r="D2" s="14">
        <f>SUM(D7:D45)</f>
        <v>9851</v>
      </c>
      <c r="E2" s="14">
        <f>SUM(E7:E45)</f>
        <v>0</v>
      </c>
    </row>
    <row r="3" spans="1:6" s="16" customFormat="1" ht="11.5" customHeight="1" x14ac:dyDescent="0.35">
      <c r="A3" s="17"/>
      <c r="B3" s="13" t="s">
        <v>108</v>
      </c>
      <c r="C3" s="14">
        <f>C2/COUNT(C7:C45)</f>
        <v>224.22222222222223</v>
      </c>
      <c r="D3" s="14">
        <f>D2/COUNT(D7:D45)</f>
        <v>317.77419354838707</v>
      </c>
      <c r="E3" s="14" t="e">
        <f>E2/COUNT(E7:E45)</f>
        <v>#DIV/0!</v>
      </c>
    </row>
    <row r="4" spans="1:6" s="16" customFormat="1" ht="11.5" customHeight="1" x14ac:dyDescent="0.35">
      <c r="A4" s="17"/>
      <c r="B4" s="13" t="s">
        <v>110</v>
      </c>
      <c r="C4" s="18"/>
      <c r="D4" s="18">
        <f>+((SUM(D7:D15)-SUM(C7:C15))/(D6-C6))/C1</f>
        <v>0.62159329140461217</v>
      </c>
      <c r="E4" s="18" t="e">
        <f>((E2-C2)/(E6-C6))/E1</f>
        <v>#DIV/0!</v>
      </c>
    </row>
    <row r="5" spans="1:6" s="16" customFormat="1" ht="11.5" customHeight="1" x14ac:dyDescent="0.35">
      <c r="A5" s="20"/>
      <c r="B5" s="21" t="s">
        <v>112</v>
      </c>
      <c r="C5" s="30"/>
      <c r="D5" s="30">
        <f>D4*30</f>
        <v>18.647798742138367</v>
      </c>
      <c r="E5" s="30" t="e">
        <f>E4*30</f>
        <v>#DIV/0!</v>
      </c>
    </row>
    <row r="6" spans="1:6" x14ac:dyDescent="0.45">
      <c r="A6" s="36" t="s">
        <v>182</v>
      </c>
      <c r="B6" s="7" t="s">
        <v>0</v>
      </c>
      <c r="C6" s="28">
        <v>43455</v>
      </c>
      <c r="D6" s="28">
        <v>43561</v>
      </c>
      <c r="E6" s="28">
        <v>43466</v>
      </c>
      <c r="F6" s="9" t="s">
        <v>183</v>
      </c>
    </row>
    <row r="7" spans="1:6" x14ac:dyDescent="0.45">
      <c r="A7" s="35">
        <v>8545</v>
      </c>
      <c r="B7" s="34" t="s">
        <v>135</v>
      </c>
      <c r="C7" s="9">
        <v>208</v>
      </c>
      <c r="D7" s="35">
        <v>290</v>
      </c>
      <c r="F7" s="46">
        <f t="shared" ref="F7:F15" si="0">+((D7-C7)/($D$6-$C$6)*30)</f>
        <v>23.20754716981132</v>
      </c>
    </row>
    <row r="8" spans="1:6" x14ac:dyDescent="0.45">
      <c r="A8" s="35">
        <v>8615</v>
      </c>
      <c r="B8" s="34" t="s">
        <v>23</v>
      </c>
      <c r="C8" s="9">
        <v>215</v>
      </c>
      <c r="D8" s="35">
        <v>290</v>
      </c>
      <c r="F8" s="46">
        <f t="shared" si="0"/>
        <v>21.226415094339622</v>
      </c>
    </row>
    <row r="9" spans="1:6" x14ac:dyDescent="0.45">
      <c r="A9" s="35">
        <v>8619</v>
      </c>
      <c r="B9" s="34" t="s">
        <v>23</v>
      </c>
      <c r="C9" s="9">
        <v>245</v>
      </c>
      <c r="D9" s="35">
        <v>301</v>
      </c>
      <c r="F9" s="46">
        <f t="shared" si="0"/>
        <v>15.849056603773585</v>
      </c>
    </row>
    <row r="10" spans="1:6" x14ac:dyDescent="0.45">
      <c r="A10" s="35">
        <v>8621</v>
      </c>
      <c r="B10" s="34" t="s">
        <v>23</v>
      </c>
      <c r="C10" s="9">
        <v>235</v>
      </c>
      <c r="D10" s="35">
        <v>290</v>
      </c>
      <c r="F10" s="46">
        <f t="shared" si="0"/>
        <v>15.566037735849056</v>
      </c>
    </row>
    <row r="11" spans="1:6" x14ac:dyDescent="0.45">
      <c r="A11" s="31">
        <v>8622</v>
      </c>
      <c r="B11" s="34" t="s">
        <v>23</v>
      </c>
      <c r="C11" s="9">
        <v>235</v>
      </c>
      <c r="D11" s="31">
        <v>300</v>
      </c>
      <c r="F11" s="46">
        <f t="shared" si="0"/>
        <v>18.39622641509434</v>
      </c>
    </row>
    <row r="12" spans="1:6" x14ac:dyDescent="0.45">
      <c r="A12" s="35">
        <v>8630</v>
      </c>
      <c r="B12" s="34" t="s">
        <v>37</v>
      </c>
      <c r="C12" s="9">
        <v>215</v>
      </c>
      <c r="D12" s="35">
        <v>290</v>
      </c>
      <c r="F12" s="46">
        <f t="shared" si="0"/>
        <v>21.226415094339622</v>
      </c>
    </row>
    <row r="13" spans="1:6" x14ac:dyDescent="0.45">
      <c r="A13" s="35">
        <v>8641</v>
      </c>
      <c r="B13" s="34" t="s">
        <v>133</v>
      </c>
      <c r="C13" s="9">
        <v>235</v>
      </c>
      <c r="D13" s="35">
        <v>280</v>
      </c>
      <c r="F13" s="46">
        <f t="shared" si="0"/>
        <v>12.735849056603774</v>
      </c>
    </row>
    <row r="14" spans="1:6" x14ac:dyDescent="0.45">
      <c r="A14" s="35">
        <v>8643</v>
      </c>
      <c r="B14" s="34" t="s">
        <v>134</v>
      </c>
      <c r="C14" s="9">
        <v>215</v>
      </c>
      <c r="D14" s="35">
        <v>280</v>
      </c>
      <c r="F14" s="46">
        <f t="shared" si="0"/>
        <v>18.39622641509434</v>
      </c>
    </row>
    <row r="15" spans="1:6" x14ac:dyDescent="0.45">
      <c r="A15" s="35">
        <v>8644</v>
      </c>
      <c r="B15" s="34" t="s">
        <v>23</v>
      </c>
      <c r="C15" s="9">
        <v>215</v>
      </c>
      <c r="D15" s="35">
        <v>290</v>
      </c>
      <c r="F15" s="46">
        <f t="shared" si="0"/>
        <v>21.226415094339622</v>
      </c>
    </row>
    <row r="16" spans="1:6" x14ac:dyDescent="0.45">
      <c r="A16" s="31">
        <v>8655</v>
      </c>
      <c r="B16" s="32"/>
      <c r="C16" s="31"/>
      <c r="D16" s="31">
        <v>350</v>
      </c>
      <c r="E16" s="31"/>
    </row>
    <row r="17" spans="1:5" x14ac:dyDescent="0.45">
      <c r="A17" s="31">
        <v>8656</v>
      </c>
      <c r="B17" s="32"/>
      <c r="C17" s="31"/>
      <c r="D17" s="31">
        <v>370</v>
      </c>
      <c r="E17" s="31"/>
    </row>
    <row r="18" spans="1:5" x14ac:dyDescent="0.45">
      <c r="A18" s="35">
        <v>8657</v>
      </c>
      <c r="B18" s="34" t="s">
        <v>138</v>
      </c>
      <c r="D18" s="35">
        <v>310</v>
      </c>
      <c r="E18" s="31"/>
    </row>
    <row r="19" spans="1:5" x14ac:dyDescent="0.45">
      <c r="A19" s="31">
        <v>8658</v>
      </c>
      <c r="B19" s="32"/>
      <c r="C19" s="31"/>
      <c r="D19" s="31">
        <v>350</v>
      </c>
      <c r="E19" s="31"/>
    </row>
    <row r="20" spans="1:5" x14ac:dyDescent="0.45">
      <c r="A20" s="31">
        <v>8659</v>
      </c>
      <c r="B20" s="32"/>
      <c r="C20" s="31"/>
      <c r="D20" s="31">
        <v>290</v>
      </c>
      <c r="E20" s="31"/>
    </row>
    <row r="21" spans="1:5" x14ac:dyDescent="0.45">
      <c r="A21" s="35">
        <v>8660</v>
      </c>
      <c r="B21" s="34" t="s">
        <v>16</v>
      </c>
      <c r="D21" s="35">
        <v>350</v>
      </c>
      <c r="E21" s="31"/>
    </row>
    <row r="22" spans="1:5" x14ac:dyDescent="0.45">
      <c r="A22" s="31">
        <v>8661</v>
      </c>
      <c r="B22" s="32"/>
      <c r="C22" s="31"/>
      <c r="D22" s="31">
        <v>300</v>
      </c>
      <c r="E22" s="31"/>
    </row>
    <row r="23" spans="1:5" x14ac:dyDescent="0.45">
      <c r="A23" s="35">
        <v>8662</v>
      </c>
      <c r="B23" s="34" t="s">
        <v>137</v>
      </c>
      <c r="D23" s="35">
        <v>410</v>
      </c>
      <c r="E23" s="31"/>
    </row>
    <row r="24" spans="1:5" x14ac:dyDescent="0.45">
      <c r="A24" s="35">
        <v>8663</v>
      </c>
      <c r="B24" s="34" t="s">
        <v>136</v>
      </c>
      <c r="D24" s="35">
        <v>340</v>
      </c>
      <c r="E24" s="31"/>
    </row>
    <row r="25" spans="1:5" x14ac:dyDescent="0.45">
      <c r="A25" s="31">
        <v>8664</v>
      </c>
      <c r="B25" s="32"/>
      <c r="C25" s="31"/>
      <c r="D25" s="31">
        <v>300</v>
      </c>
      <c r="E25" s="31"/>
    </row>
    <row r="26" spans="1:5" x14ac:dyDescent="0.45">
      <c r="A26" s="35">
        <v>8665</v>
      </c>
      <c r="B26" s="34" t="s">
        <v>23</v>
      </c>
      <c r="D26" s="35">
        <v>320</v>
      </c>
      <c r="E26" s="31"/>
    </row>
    <row r="27" spans="1:5" x14ac:dyDescent="0.45">
      <c r="A27" s="31">
        <v>8666</v>
      </c>
      <c r="B27" s="32"/>
      <c r="C27" s="31"/>
      <c r="D27" s="31">
        <v>330</v>
      </c>
      <c r="E27" s="31"/>
    </row>
    <row r="28" spans="1:5" x14ac:dyDescent="0.45">
      <c r="A28" s="31">
        <v>8667</v>
      </c>
      <c r="B28" s="32"/>
      <c r="C28" s="31"/>
      <c r="D28" s="31">
        <v>340</v>
      </c>
      <c r="E28" s="31"/>
    </row>
    <row r="29" spans="1:5" x14ac:dyDescent="0.45">
      <c r="A29" s="31">
        <v>8668</v>
      </c>
      <c r="B29" s="32"/>
      <c r="C29" s="31"/>
      <c r="D29" s="31">
        <v>350</v>
      </c>
      <c r="E29" s="31"/>
    </row>
    <row r="30" spans="1:5" x14ac:dyDescent="0.45">
      <c r="A30" s="35">
        <v>8669</v>
      </c>
      <c r="B30" s="34"/>
      <c r="C30" s="35"/>
      <c r="D30" s="31">
        <v>370</v>
      </c>
      <c r="E30" s="31"/>
    </row>
    <row r="31" spans="1:5" x14ac:dyDescent="0.45">
      <c r="A31" s="31">
        <v>8670</v>
      </c>
      <c r="B31" s="32"/>
      <c r="C31" s="31"/>
      <c r="D31" s="31">
        <v>340</v>
      </c>
      <c r="E31" s="31"/>
    </row>
    <row r="32" spans="1:5" x14ac:dyDescent="0.45">
      <c r="A32" s="31">
        <v>8671</v>
      </c>
      <c r="B32" s="32"/>
      <c r="C32" s="31"/>
      <c r="D32" s="31">
        <v>340</v>
      </c>
      <c r="E32" s="31"/>
    </row>
    <row r="33" spans="1:5" x14ac:dyDescent="0.45">
      <c r="A33" s="31">
        <v>8672</v>
      </c>
      <c r="B33" s="32"/>
      <c r="C33" s="31"/>
      <c r="D33" s="31">
        <v>350</v>
      </c>
      <c r="E33" s="31"/>
    </row>
    <row r="34" spans="1:5" x14ac:dyDescent="0.45">
      <c r="A34" s="31">
        <v>8673</v>
      </c>
      <c r="B34" s="32"/>
      <c r="C34" s="31"/>
      <c r="D34" s="31">
        <v>310</v>
      </c>
      <c r="E34" s="31"/>
    </row>
    <row r="35" spans="1:5" x14ac:dyDescent="0.45">
      <c r="A35" s="31">
        <v>8674</v>
      </c>
      <c r="B35" s="32"/>
      <c r="C35" s="31"/>
      <c r="D35" s="31">
        <v>340</v>
      </c>
      <c r="E35" s="31"/>
    </row>
    <row r="36" spans="1:5" x14ac:dyDescent="0.45">
      <c r="A36" s="31">
        <v>8675</v>
      </c>
      <c r="B36" s="32"/>
      <c r="C36" s="31"/>
      <c r="D36" s="31">
        <v>340</v>
      </c>
      <c r="E36" s="31"/>
    </row>
    <row r="37" spans="1:5" x14ac:dyDescent="0.45">
      <c r="A37" s="31" t="s">
        <v>357</v>
      </c>
      <c r="B37" s="32"/>
      <c r="C37" s="31"/>
      <c r="D37" s="31">
        <v>140</v>
      </c>
      <c r="E37" s="31"/>
    </row>
    <row r="38" spans="1:5" x14ac:dyDescent="0.45">
      <c r="A38" s="31"/>
      <c r="B38" s="32"/>
      <c r="C38" s="31"/>
      <c r="D38" s="31"/>
      <c r="E38" s="31"/>
    </row>
    <row r="39" spans="1:5" x14ac:dyDescent="0.45">
      <c r="A39" s="31"/>
      <c r="B39" s="32"/>
      <c r="C39" s="31"/>
      <c r="D39" s="31"/>
      <c r="E39" s="31"/>
    </row>
    <row r="40" spans="1:5" x14ac:dyDescent="0.45">
      <c r="A40" s="31"/>
      <c r="B40" s="32"/>
      <c r="C40" s="31"/>
      <c r="D40" s="31"/>
      <c r="E40" s="31"/>
    </row>
    <row r="41" spans="1:5" x14ac:dyDescent="0.45">
      <c r="A41" s="31"/>
      <c r="B41" s="32"/>
      <c r="C41" s="31"/>
      <c r="D41" s="31"/>
      <c r="E41" s="31"/>
    </row>
    <row r="42" spans="1:5" x14ac:dyDescent="0.45">
      <c r="A42" s="31"/>
      <c r="B42" s="32"/>
      <c r="C42" s="31"/>
      <c r="D42" s="31"/>
      <c r="E42" s="31"/>
    </row>
    <row r="43" spans="1:5" x14ac:dyDescent="0.45">
      <c r="A43" s="31"/>
      <c r="B43" s="32"/>
      <c r="C43" s="31"/>
      <c r="D43" s="31"/>
      <c r="E43" s="31"/>
    </row>
    <row r="44" spans="1:5" x14ac:dyDescent="0.45">
      <c r="A44" s="31"/>
      <c r="B44" s="32"/>
      <c r="C44" s="31"/>
      <c r="D44" s="31"/>
      <c r="E44" s="31"/>
    </row>
    <row r="45" spans="1:5" x14ac:dyDescent="0.45">
      <c r="A45" s="31"/>
      <c r="B45" s="32"/>
      <c r="C45" s="31"/>
      <c r="D45" s="31"/>
      <c r="E45" s="31"/>
    </row>
    <row r="46" spans="1:5" x14ac:dyDescent="0.45">
      <c r="A46" s="31"/>
      <c r="B46" s="32"/>
      <c r="C46" s="31"/>
      <c r="D46" s="31"/>
      <c r="E46" s="31"/>
    </row>
  </sheetData>
  <sortState xmlns:xlrd2="http://schemas.microsoft.com/office/spreadsheetml/2017/richdata2" ref="A7:F37">
    <sortCondition ref="A7:A37"/>
  </sortState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8">
    <tabColor rgb="FF92D050"/>
  </sheetPr>
  <dimension ref="A1:I44"/>
  <sheetViews>
    <sheetView workbookViewId="0">
      <pane ySplit="5" topLeftCell="A21" activePane="bottomLeft" state="frozen"/>
      <selection pane="bottomLeft" activeCell="A28" sqref="A28"/>
    </sheetView>
  </sheetViews>
  <sheetFormatPr defaultColWidth="10.81640625" defaultRowHeight="16.5" x14ac:dyDescent="0.45"/>
  <cols>
    <col min="1" max="1" width="11.453125" style="9" bestFit="1" customWidth="1"/>
    <col min="2" max="2" width="12.54296875" style="9" bestFit="1" customWidth="1"/>
    <col min="3" max="3" width="15.26953125" style="6" bestFit="1" customWidth="1"/>
    <col min="4" max="5" width="10.453125" style="9" bestFit="1" customWidth="1"/>
    <col min="6" max="6" width="9.81640625" style="9" bestFit="1" customWidth="1"/>
    <col min="7" max="16384" width="10.81640625" style="6"/>
  </cols>
  <sheetData>
    <row r="1" spans="1:9" s="16" customFormat="1" ht="17.5" x14ac:dyDescent="0.35">
      <c r="A1" s="129" t="s">
        <v>382</v>
      </c>
      <c r="B1" s="129"/>
      <c r="C1" s="13" t="s">
        <v>114</v>
      </c>
      <c r="D1" s="14">
        <f>COUNT(D8:D40)</f>
        <v>21</v>
      </c>
      <c r="E1" s="14">
        <f>COUNT(E7:E40)</f>
        <v>0</v>
      </c>
      <c r="F1" s="14">
        <f>COUNT(F7:F40)</f>
        <v>0</v>
      </c>
      <c r="G1" s="44"/>
    </row>
    <row r="2" spans="1:9" s="16" customFormat="1" ht="11.5" customHeight="1" x14ac:dyDescent="0.35">
      <c r="A2" s="130" t="s">
        <v>185</v>
      </c>
      <c r="B2" s="130"/>
      <c r="C2" s="13" t="s">
        <v>109</v>
      </c>
      <c r="D2" s="14">
        <f>SUM(D8:D43)</f>
        <v>6088</v>
      </c>
      <c r="E2" s="14">
        <f>SUM(E7:E43)</f>
        <v>0</v>
      </c>
      <c r="F2" s="14">
        <f>SUM(F7:F43)</f>
        <v>0</v>
      </c>
    </row>
    <row r="3" spans="1:9" s="16" customFormat="1" ht="11.5" customHeight="1" x14ac:dyDescent="0.35">
      <c r="A3" s="17"/>
      <c r="B3" s="17"/>
      <c r="C3" s="13" t="s">
        <v>108</v>
      </c>
      <c r="D3" s="14">
        <f>D2/COUNT(D8:D43)</f>
        <v>289.90476190476193</v>
      </c>
      <c r="E3" s="14" t="e">
        <f>E2/COUNT(E7:E43)</f>
        <v>#DIV/0!</v>
      </c>
      <c r="F3" s="14" t="e">
        <f>F2/COUNT(F7:F43)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</row>
    <row r="6" spans="1:9" x14ac:dyDescent="0.45">
      <c r="A6" s="36" t="s">
        <v>182</v>
      </c>
      <c r="B6" s="36" t="s">
        <v>39</v>
      </c>
      <c r="C6" s="7" t="s">
        <v>0</v>
      </c>
      <c r="D6" s="28">
        <v>43593</v>
      </c>
      <c r="E6" s="28"/>
      <c r="F6" s="28"/>
    </row>
    <row r="7" spans="1:9" x14ac:dyDescent="0.45">
      <c r="E7" s="37"/>
      <c r="F7" s="6"/>
      <c r="G7" s="41"/>
      <c r="H7"/>
    </row>
    <row r="8" spans="1:9" x14ac:dyDescent="0.45">
      <c r="A8" s="9">
        <v>9329</v>
      </c>
      <c r="B8" s="6" t="s">
        <v>9</v>
      </c>
      <c r="D8" s="9">
        <v>240</v>
      </c>
      <c r="E8" s="37"/>
      <c r="F8" s="6"/>
      <c r="G8" s="41"/>
      <c r="H8"/>
    </row>
    <row r="9" spans="1:9" x14ac:dyDescent="0.45">
      <c r="A9" s="9">
        <v>9330</v>
      </c>
      <c r="B9" s="6" t="s">
        <v>35</v>
      </c>
      <c r="D9" s="9">
        <v>325</v>
      </c>
      <c r="E9" s="37"/>
      <c r="F9" s="6"/>
      <c r="G9" s="41"/>
      <c r="H9"/>
      <c r="I9"/>
    </row>
    <row r="10" spans="1:9" x14ac:dyDescent="0.45">
      <c r="E10" s="37"/>
      <c r="F10" s="6"/>
      <c r="G10" s="41"/>
      <c r="H10"/>
      <c r="I10"/>
    </row>
    <row r="11" spans="1:9" x14ac:dyDescent="0.45">
      <c r="A11" s="9">
        <v>9332</v>
      </c>
      <c r="B11" s="6" t="s">
        <v>23</v>
      </c>
      <c r="D11" s="9">
        <v>265</v>
      </c>
      <c r="F11" s="6"/>
      <c r="G11" s="41"/>
      <c r="H11"/>
      <c r="I11"/>
    </row>
    <row r="12" spans="1:9" x14ac:dyDescent="0.45">
      <c r="A12" s="9">
        <v>9333</v>
      </c>
      <c r="B12" s="6" t="s">
        <v>15</v>
      </c>
      <c r="D12" s="9">
        <v>231</v>
      </c>
      <c r="E12" s="37"/>
      <c r="F12" s="6"/>
      <c r="G12" s="41"/>
      <c r="I12"/>
    </row>
    <row r="13" spans="1:9" x14ac:dyDescent="0.45">
      <c r="A13" s="9">
        <v>9334</v>
      </c>
      <c r="B13" s="6" t="s">
        <v>15</v>
      </c>
      <c r="D13" s="9">
        <v>256</v>
      </c>
      <c r="E13" s="37"/>
      <c r="F13" s="6"/>
      <c r="G13" s="41"/>
      <c r="I13"/>
    </row>
    <row r="14" spans="1:9" x14ac:dyDescent="0.45">
      <c r="A14" s="9">
        <v>9335</v>
      </c>
      <c r="B14" s="6" t="s">
        <v>16</v>
      </c>
      <c r="D14" s="9">
        <v>317</v>
      </c>
      <c r="E14" s="37"/>
      <c r="F14" s="6"/>
      <c r="G14" s="41"/>
      <c r="I14"/>
    </row>
    <row r="15" spans="1:9" x14ac:dyDescent="0.45">
      <c r="A15" s="9">
        <v>9336</v>
      </c>
      <c r="B15" s="6" t="s">
        <v>16</v>
      </c>
      <c r="D15" s="9">
        <v>285</v>
      </c>
      <c r="E15" s="37"/>
      <c r="F15" s="6"/>
      <c r="G15" s="41"/>
    </row>
    <row r="16" spans="1:9" x14ac:dyDescent="0.45">
      <c r="A16" s="9">
        <v>9337</v>
      </c>
      <c r="B16" s="6" t="s">
        <v>37</v>
      </c>
      <c r="D16" s="9">
        <v>267</v>
      </c>
      <c r="F16" s="6"/>
      <c r="G16" s="41"/>
    </row>
    <row r="17" spans="1:7" x14ac:dyDescent="0.45">
      <c r="A17" s="9">
        <v>9338</v>
      </c>
      <c r="B17" s="6" t="s">
        <v>9</v>
      </c>
      <c r="D17" s="9">
        <v>306</v>
      </c>
      <c r="F17" s="6"/>
      <c r="G17" s="41"/>
    </row>
    <row r="18" spans="1:7" x14ac:dyDescent="0.45">
      <c r="A18" s="9">
        <v>9339</v>
      </c>
      <c r="B18" s="6" t="s">
        <v>15</v>
      </c>
      <c r="D18" s="9">
        <v>313</v>
      </c>
      <c r="F18" s="6"/>
      <c r="G18" s="41"/>
    </row>
    <row r="19" spans="1:7" x14ac:dyDescent="0.45">
      <c r="A19" s="9">
        <v>9340</v>
      </c>
      <c r="B19" s="6" t="s">
        <v>19</v>
      </c>
      <c r="D19" s="9">
        <v>225</v>
      </c>
      <c r="F19" s="6"/>
      <c r="G19" s="41"/>
    </row>
    <row r="20" spans="1:7" x14ac:dyDescent="0.45">
      <c r="A20" s="9">
        <v>9341</v>
      </c>
      <c r="B20" s="6" t="s">
        <v>16</v>
      </c>
      <c r="D20" s="9">
        <v>266</v>
      </c>
      <c r="F20" s="6"/>
      <c r="G20" s="41"/>
    </row>
    <row r="21" spans="1:7" x14ac:dyDescent="0.45">
      <c r="A21" s="9">
        <v>9342</v>
      </c>
      <c r="B21" s="6" t="s">
        <v>15</v>
      </c>
      <c r="D21" s="9">
        <v>300</v>
      </c>
      <c r="E21" s="37"/>
      <c r="F21" s="6"/>
      <c r="G21" s="41"/>
    </row>
    <row r="22" spans="1:7" x14ac:dyDescent="0.45">
      <c r="A22" s="9">
        <v>9343</v>
      </c>
      <c r="B22" s="6" t="s">
        <v>16</v>
      </c>
      <c r="D22" s="9">
        <v>300</v>
      </c>
      <c r="E22" s="37"/>
      <c r="F22" s="6"/>
      <c r="G22" s="41"/>
    </row>
    <row r="23" spans="1:7" x14ac:dyDescent="0.45">
      <c r="A23" s="9">
        <v>9344</v>
      </c>
      <c r="B23" s="6" t="s">
        <v>16</v>
      </c>
      <c r="D23" s="9">
        <v>310</v>
      </c>
      <c r="E23" s="37"/>
      <c r="F23" s="6"/>
      <c r="G23" s="41"/>
    </row>
    <row r="24" spans="1:7" x14ac:dyDescent="0.45">
      <c r="A24" s="9">
        <v>9345</v>
      </c>
      <c r="B24" s="6" t="s">
        <v>1</v>
      </c>
      <c r="D24" s="9">
        <v>375</v>
      </c>
      <c r="F24" s="6"/>
      <c r="G24" s="41"/>
    </row>
    <row r="25" spans="1:7" x14ac:dyDescent="0.45">
      <c r="A25" s="9">
        <v>9346</v>
      </c>
      <c r="B25" s="6" t="s">
        <v>23</v>
      </c>
      <c r="D25" s="9">
        <v>213</v>
      </c>
      <c r="F25" s="6"/>
      <c r="G25" s="41"/>
    </row>
    <row r="26" spans="1:7" x14ac:dyDescent="0.45">
      <c r="A26" s="9">
        <v>9347</v>
      </c>
      <c r="B26" s="6" t="s">
        <v>23</v>
      </c>
      <c r="D26" s="9">
        <v>304</v>
      </c>
      <c r="E26" s="37"/>
      <c r="F26" s="6"/>
      <c r="G26" s="41"/>
    </row>
    <row r="27" spans="1:7" x14ac:dyDescent="0.45">
      <c r="A27" s="9">
        <v>9348</v>
      </c>
      <c r="B27" s="6" t="s">
        <v>15</v>
      </c>
      <c r="D27" s="9">
        <v>386</v>
      </c>
      <c r="F27" s="6"/>
      <c r="G27" s="41"/>
    </row>
    <row r="28" spans="1:7" x14ac:dyDescent="0.45">
      <c r="A28" s="9">
        <v>9349</v>
      </c>
      <c r="B28" s="6" t="s">
        <v>38</v>
      </c>
      <c r="D28" s="9">
        <v>264</v>
      </c>
      <c r="E28" s="37"/>
      <c r="F28" s="6"/>
      <c r="G28" s="41"/>
    </row>
    <row r="29" spans="1:7" x14ac:dyDescent="0.45">
      <c r="A29" s="9">
        <v>9350</v>
      </c>
      <c r="B29" s="6" t="s">
        <v>18</v>
      </c>
      <c r="D29" s="9">
        <v>340</v>
      </c>
      <c r="F29" s="6"/>
      <c r="G29" s="41"/>
    </row>
    <row r="30" spans="1:7" x14ac:dyDescent="0.45">
      <c r="A30" s="6"/>
      <c r="B30" s="6"/>
      <c r="E30" s="37"/>
      <c r="F30" s="6"/>
      <c r="G30" s="41"/>
    </row>
    <row r="31" spans="1:7" x14ac:dyDescent="0.45">
      <c r="A31" s="6"/>
      <c r="B31" s="6"/>
      <c r="F31" s="6"/>
      <c r="G31" s="41"/>
    </row>
    <row r="32" spans="1:7" x14ac:dyDescent="0.45">
      <c r="A32" s="6"/>
      <c r="B32" s="6"/>
      <c r="E32" s="37"/>
      <c r="F32" s="6"/>
      <c r="G32" s="41"/>
    </row>
    <row r="33" spans="1:7" x14ac:dyDescent="0.45">
      <c r="A33" s="6"/>
      <c r="B33" s="6"/>
      <c r="F33" s="6"/>
      <c r="G33" s="40"/>
    </row>
    <row r="34" spans="1:7" x14ac:dyDescent="0.45">
      <c r="A34" s="6"/>
      <c r="B34" s="6"/>
      <c r="F34" s="6"/>
      <c r="G34" s="40"/>
    </row>
    <row r="35" spans="1:7" x14ac:dyDescent="0.45">
      <c r="A35" s="6"/>
      <c r="B35" s="6"/>
      <c r="F35" s="6"/>
      <c r="G35" s="40"/>
    </row>
    <row r="36" spans="1:7" x14ac:dyDescent="0.45">
      <c r="A36" s="6"/>
      <c r="B36" s="6"/>
      <c r="E36" s="37"/>
      <c r="F36" s="6"/>
      <c r="G36" s="40"/>
    </row>
    <row r="37" spans="1:7" x14ac:dyDescent="0.45">
      <c r="A37" s="39"/>
      <c r="B37" s="42"/>
      <c r="C37" s="39"/>
      <c r="D37" s="40"/>
      <c r="E37" s="40"/>
      <c r="F37" s="6"/>
      <c r="G37" s="40"/>
    </row>
    <row r="38" spans="1:7" x14ac:dyDescent="0.45">
      <c r="A38" s="31"/>
      <c r="B38" s="31"/>
      <c r="C38" s="32"/>
      <c r="D38" s="31"/>
      <c r="E38" s="31"/>
      <c r="F38" s="31"/>
    </row>
    <row r="39" spans="1:7" x14ac:dyDescent="0.45">
      <c r="A39" s="31"/>
      <c r="B39" s="31"/>
      <c r="C39" s="32"/>
      <c r="D39" s="31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  <row r="43" spans="1:7" x14ac:dyDescent="0.45">
      <c r="A43" s="31"/>
      <c r="B43" s="31"/>
      <c r="C43" s="32"/>
      <c r="D43" s="31"/>
      <c r="E43" s="31"/>
      <c r="F43" s="31"/>
    </row>
    <row r="44" spans="1:7" x14ac:dyDescent="0.45">
      <c r="A44" s="31"/>
      <c r="B44" s="31"/>
      <c r="C44" s="32"/>
      <c r="D44" s="31"/>
      <c r="E44" s="31"/>
      <c r="F44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9">
    <tabColor rgb="FF92D050"/>
  </sheetPr>
  <dimension ref="A1:J44"/>
  <sheetViews>
    <sheetView workbookViewId="0">
      <pane ySplit="5" topLeftCell="A6" activePane="bottomLeft" state="frozen"/>
      <selection pane="bottomLeft" activeCell="F8" sqref="F8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8.1796875" style="6" bestFit="1" customWidth="1"/>
    <col min="4" max="4" width="18.1796875" style="6" customWidth="1"/>
    <col min="5" max="6" width="10.453125" style="9" bestFit="1" customWidth="1"/>
    <col min="7" max="7" width="9.81640625" style="9" bestFit="1" customWidth="1"/>
    <col min="8" max="16384" width="10.81640625" style="6"/>
  </cols>
  <sheetData>
    <row r="1" spans="1:10" s="16" customFormat="1" ht="17.5" x14ac:dyDescent="0.35">
      <c r="A1" s="129" t="s">
        <v>385</v>
      </c>
      <c r="B1" s="129"/>
      <c r="C1" s="13" t="s">
        <v>114</v>
      </c>
      <c r="D1" s="14">
        <f>COUNT(D7:D40)</f>
        <v>27</v>
      </c>
      <c r="E1" s="14">
        <f>COUNT(E7:E40)</f>
        <v>27</v>
      </c>
      <c r="F1" s="14"/>
      <c r="G1" s="14"/>
      <c r="H1" s="45"/>
    </row>
    <row r="2" spans="1:10" s="16" customFormat="1" ht="11.5" customHeight="1" x14ac:dyDescent="0.35">
      <c r="A2" s="130" t="s">
        <v>186</v>
      </c>
      <c r="B2" s="130"/>
      <c r="C2" s="13" t="s">
        <v>109</v>
      </c>
      <c r="D2" s="14">
        <f>SUM(D7:D43)</f>
        <v>7851</v>
      </c>
      <c r="E2" s="14">
        <f>SUM(E7:E43)</f>
        <v>8080</v>
      </c>
      <c r="F2" s="14"/>
      <c r="G2" s="14"/>
    </row>
    <row r="3" spans="1:10" s="16" customFormat="1" ht="11.5" customHeight="1" x14ac:dyDescent="0.35">
      <c r="A3" s="17"/>
      <c r="B3" s="17"/>
      <c r="C3" s="13" t="s">
        <v>108</v>
      </c>
      <c r="D3" s="14">
        <f>D2/COUNT(D7:D43)</f>
        <v>290.77777777777777</v>
      </c>
      <c r="E3" s="14">
        <f>E2/COUNT(E7:E43)</f>
        <v>299.25925925925924</v>
      </c>
      <c r="F3" s="14"/>
      <c r="G3" s="14"/>
    </row>
    <row r="4" spans="1:10" s="16" customFormat="1" ht="11.5" customHeight="1" x14ac:dyDescent="0.35">
      <c r="A4" s="17"/>
      <c r="B4" s="17"/>
      <c r="C4" s="13" t="s">
        <v>110</v>
      </c>
      <c r="D4" s="18"/>
      <c r="E4" s="14"/>
      <c r="F4" s="18"/>
      <c r="G4" s="18"/>
    </row>
    <row r="5" spans="1:10" s="16" customFormat="1" ht="11.5" customHeight="1" x14ac:dyDescent="0.35">
      <c r="A5" s="20"/>
      <c r="B5" s="20"/>
      <c r="C5" s="21" t="s">
        <v>112</v>
      </c>
      <c r="D5" s="23"/>
      <c r="E5" s="22"/>
      <c r="F5" s="23"/>
      <c r="G5" s="30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43592</v>
      </c>
      <c r="E6" s="28">
        <v>43588</v>
      </c>
      <c r="F6" s="28"/>
      <c r="G6" s="28"/>
    </row>
    <row r="7" spans="1:10" x14ac:dyDescent="0.45">
      <c r="A7" s="9">
        <v>9301</v>
      </c>
      <c r="C7" s="6" t="s">
        <v>1</v>
      </c>
      <c r="D7" s="9">
        <v>266</v>
      </c>
      <c r="E7" s="9">
        <v>326</v>
      </c>
      <c r="G7" s="6"/>
      <c r="H7" s="41"/>
      <c r="I7"/>
    </row>
    <row r="8" spans="1:10" x14ac:dyDescent="0.45">
      <c r="A8" s="9">
        <v>9302</v>
      </c>
      <c r="C8" s="6" t="s">
        <v>2</v>
      </c>
      <c r="D8" s="9">
        <v>255</v>
      </c>
      <c r="E8" s="9">
        <v>260</v>
      </c>
      <c r="G8" s="6"/>
      <c r="H8" s="41"/>
      <c r="I8"/>
    </row>
    <row r="9" spans="1:10" x14ac:dyDescent="0.45">
      <c r="A9" s="9">
        <v>9303</v>
      </c>
      <c r="C9" s="6" t="s">
        <v>3</v>
      </c>
      <c r="D9" s="9">
        <v>326</v>
      </c>
      <c r="E9" s="9">
        <v>320</v>
      </c>
      <c r="G9" s="6"/>
      <c r="H9" s="41"/>
      <c r="I9"/>
      <c r="J9"/>
    </row>
    <row r="10" spans="1:10" x14ac:dyDescent="0.45">
      <c r="A10" s="9">
        <v>9304</v>
      </c>
      <c r="C10" s="6" t="s">
        <v>4</v>
      </c>
      <c r="D10" s="9">
        <v>289</v>
      </c>
      <c r="E10" s="9">
        <v>292</v>
      </c>
      <c r="G10" s="6"/>
      <c r="H10" s="41"/>
      <c r="I10"/>
      <c r="J10"/>
    </row>
    <row r="11" spans="1:10" x14ac:dyDescent="0.45">
      <c r="A11" s="9">
        <v>9305</v>
      </c>
      <c r="C11" s="6" t="s">
        <v>5</v>
      </c>
      <c r="D11" s="9">
        <v>266</v>
      </c>
      <c r="E11" s="9">
        <v>352</v>
      </c>
      <c r="G11" s="6"/>
      <c r="H11" s="41"/>
      <c r="I11"/>
      <c r="J11"/>
    </row>
    <row r="12" spans="1:10" x14ac:dyDescent="0.45">
      <c r="A12" s="9">
        <v>9306</v>
      </c>
      <c r="C12" s="6" t="s">
        <v>6</v>
      </c>
      <c r="D12" s="9">
        <v>284</v>
      </c>
      <c r="E12" s="9">
        <v>308</v>
      </c>
      <c r="G12" s="6"/>
      <c r="H12" s="41"/>
      <c r="I12"/>
      <c r="J12"/>
    </row>
    <row r="13" spans="1:10" x14ac:dyDescent="0.45">
      <c r="A13" s="9">
        <v>9307</v>
      </c>
      <c r="C13" s="6" t="s">
        <v>7</v>
      </c>
      <c r="D13" s="9">
        <v>292</v>
      </c>
      <c r="E13" s="9">
        <v>318</v>
      </c>
      <c r="G13" s="6"/>
      <c r="H13" s="41"/>
      <c r="I13"/>
      <c r="J13"/>
    </row>
    <row r="14" spans="1:10" x14ac:dyDescent="0.45">
      <c r="A14" s="9">
        <v>9308</v>
      </c>
      <c r="C14" s="6" t="s">
        <v>8</v>
      </c>
      <c r="D14" s="9">
        <v>348</v>
      </c>
      <c r="E14" s="9">
        <v>326</v>
      </c>
      <c r="G14" s="6"/>
      <c r="H14" s="41"/>
      <c r="J14"/>
    </row>
    <row r="15" spans="1:10" x14ac:dyDescent="0.45">
      <c r="A15" s="9">
        <v>9309</v>
      </c>
      <c r="C15" s="6" t="s">
        <v>9</v>
      </c>
      <c r="D15" s="9">
        <v>237</v>
      </c>
      <c r="E15" s="9">
        <v>362</v>
      </c>
      <c r="G15" s="6"/>
      <c r="H15" s="41"/>
    </row>
    <row r="16" spans="1:10" x14ac:dyDescent="0.45">
      <c r="A16" s="9">
        <v>9310</v>
      </c>
      <c r="C16" s="6" t="s">
        <v>10</v>
      </c>
      <c r="D16" s="9">
        <v>279</v>
      </c>
      <c r="E16" s="9">
        <v>300</v>
      </c>
      <c r="G16" s="6"/>
      <c r="H16" s="41"/>
    </row>
    <row r="17" spans="1:8" x14ac:dyDescent="0.45">
      <c r="A17" s="9">
        <v>9311</v>
      </c>
      <c r="C17" s="6" t="s">
        <v>11</v>
      </c>
      <c r="D17" s="9">
        <v>298</v>
      </c>
      <c r="E17" s="9">
        <v>254</v>
      </c>
      <c r="G17" s="6"/>
      <c r="H17" s="41"/>
    </row>
    <row r="18" spans="1:8" x14ac:dyDescent="0.45">
      <c r="A18" s="9">
        <v>9312</v>
      </c>
      <c r="C18" s="6" t="s">
        <v>12</v>
      </c>
      <c r="D18" s="9">
        <v>281</v>
      </c>
      <c r="E18" s="9">
        <v>364</v>
      </c>
      <c r="G18" s="6"/>
      <c r="H18" s="41"/>
    </row>
    <row r="19" spans="1:8" x14ac:dyDescent="0.45">
      <c r="A19" s="9">
        <v>9313</v>
      </c>
      <c r="C19" s="6" t="s">
        <v>13</v>
      </c>
      <c r="D19" s="9">
        <v>278</v>
      </c>
      <c r="E19" s="9">
        <v>288</v>
      </c>
      <c r="G19" s="6"/>
      <c r="H19" s="41"/>
    </row>
    <row r="20" spans="1:8" x14ac:dyDescent="0.45">
      <c r="A20" s="9">
        <v>9314</v>
      </c>
      <c r="C20" s="6" t="s">
        <v>14</v>
      </c>
      <c r="D20" s="9">
        <v>337</v>
      </c>
      <c r="E20" s="9">
        <v>286</v>
      </c>
      <c r="G20" s="6"/>
      <c r="H20" s="41"/>
    </row>
    <row r="21" spans="1:8" x14ac:dyDescent="0.45">
      <c r="A21" s="9">
        <v>9315</v>
      </c>
      <c r="C21" s="6" t="s">
        <v>15</v>
      </c>
      <c r="D21" s="9">
        <v>315</v>
      </c>
      <c r="E21" s="9">
        <v>299</v>
      </c>
      <c r="G21" s="6"/>
      <c r="H21" s="41"/>
    </row>
    <row r="22" spans="1:8" x14ac:dyDescent="0.45">
      <c r="A22" s="9">
        <v>9316</v>
      </c>
      <c r="C22" s="6" t="s">
        <v>16</v>
      </c>
      <c r="D22" s="9">
        <v>300</v>
      </c>
      <c r="E22" s="9">
        <v>269</v>
      </c>
      <c r="G22" s="6"/>
      <c r="H22" s="41"/>
    </row>
    <row r="23" spans="1:8" x14ac:dyDescent="0.45">
      <c r="A23" s="9">
        <v>9317</v>
      </c>
      <c r="C23" s="6" t="s">
        <v>17</v>
      </c>
      <c r="D23" s="9">
        <v>291</v>
      </c>
      <c r="E23" s="9">
        <v>211</v>
      </c>
      <c r="G23" s="6"/>
      <c r="H23" s="41"/>
    </row>
    <row r="24" spans="1:8" x14ac:dyDescent="0.45">
      <c r="A24" s="9">
        <v>9318</v>
      </c>
      <c r="D24" s="9">
        <v>298</v>
      </c>
      <c r="E24" s="9">
        <v>284</v>
      </c>
      <c r="G24" s="6"/>
      <c r="H24" s="41"/>
    </row>
    <row r="25" spans="1:8" x14ac:dyDescent="0.45">
      <c r="A25" s="9">
        <v>9319</v>
      </c>
      <c r="C25" s="6" t="s">
        <v>18</v>
      </c>
      <c r="D25" s="9">
        <v>289</v>
      </c>
      <c r="E25" s="9">
        <v>332</v>
      </c>
      <c r="G25" s="6"/>
      <c r="H25" s="41"/>
    </row>
    <row r="26" spans="1:8" x14ac:dyDescent="0.45">
      <c r="A26" s="9">
        <v>9320</v>
      </c>
      <c r="C26" s="6" t="s">
        <v>15</v>
      </c>
      <c r="D26" s="9">
        <v>271</v>
      </c>
      <c r="E26" s="9">
        <v>300</v>
      </c>
      <c r="G26" s="6"/>
      <c r="H26" s="41"/>
    </row>
    <row r="27" spans="1:8" x14ac:dyDescent="0.45">
      <c r="A27" s="9">
        <v>9321</v>
      </c>
      <c r="C27" s="6" t="s">
        <v>19</v>
      </c>
      <c r="D27" s="9">
        <v>297</v>
      </c>
      <c r="E27" s="9">
        <v>297</v>
      </c>
      <c r="G27" s="6"/>
      <c r="H27" s="41"/>
    </row>
    <row r="28" spans="1:8" x14ac:dyDescent="0.45">
      <c r="A28" s="9">
        <v>9322</v>
      </c>
      <c r="C28" s="6" t="s">
        <v>16</v>
      </c>
      <c r="D28" s="9">
        <v>271</v>
      </c>
      <c r="E28" s="9">
        <v>284</v>
      </c>
      <c r="G28" s="6"/>
      <c r="H28" s="41"/>
    </row>
    <row r="29" spans="1:8" x14ac:dyDescent="0.45">
      <c r="A29" s="9">
        <v>9323</v>
      </c>
      <c r="C29" s="6" t="s">
        <v>20</v>
      </c>
      <c r="D29" s="9">
        <v>249</v>
      </c>
      <c r="E29" s="9">
        <v>303</v>
      </c>
      <c r="G29" s="6"/>
      <c r="H29" s="41"/>
    </row>
    <row r="30" spans="1:8" x14ac:dyDescent="0.45">
      <c r="A30" s="9">
        <v>9324</v>
      </c>
      <c r="C30" s="6" t="s">
        <v>21</v>
      </c>
      <c r="D30" s="9">
        <v>300</v>
      </c>
      <c r="E30" s="9">
        <v>259</v>
      </c>
      <c r="G30" s="6"/>
      <c r="H30" s="41"/>
    </row>
    <row r="31" spans="1:8" x14ac:dyDescent="0.45">
      <c r="A31" s="9">
        <v>9325</v>
      </c>
      <c r="C31" s="6" t="s">
        <v>22</v>
      </c>
      <c r="D31" s="9">
        <v>328</v>
      </c>
      <c r="E31" s="9">
        <v>258</v>
      </c>
      <c r="G31" s="6"/>
      <c r="H31" s="41"/>
    </row>
    <row r="32" spans="1:8" x14ac:dyDescent="0.45">
      <c r="A32" s="9">
        <v>9326</v>
      </c>
      <c r="C32" s="6" t="s">
        <v>23</v>
      </c>
      <c r="D32" s="9">
        <v>279</v>
      </c>
      <c r="E32" s="9">
        <v>328</v>
      </c>
      <c r="G32" s="6"/>
      <c r="H32" s="41"/>
    </row>
    <row r="33" spans="1:8" x14ac:dyDescent="0.45">
      <c r="A33" s="9">
        <v>9327</v>
      </c>
      <c r="C33" s="6" t="s">
        <v>18</v>
      </c>
      <c r="D33" s="9">
        <v>327</v>
      </c>
      <c r="E33" s="9">
        <v>300</v>
      </c>
      <c r="G33" s="6"/>
      <c r="H33" s="40"/>
    </row>
    <row r="34" spans="1:8" x14ac:dyDescent="0.45">
      <c r="A34" s="6"/>
      <c r="B34" s="6"/>
      <c r="G34" s="6"/>
      <c r="H34" s="40"/>
    </row>
    <row r="35" spans="1:8" x14ac:dyDescent="0.45">
      <c r="A35" s="6"/>
      <c r="B35" s="6"/>
      <c r="G35" s="6"/>
      <c r="H35" s="40"/>
    </row>
    <row r="36" spans="1:8" x14ac:dyDescent="0.45">
      <c r="A36" s="6"/>
      <c r="B36" s="6"/>
      <c r="F36" s="37"/>
      <c r="G36" s="6"/>
      <c r="H36" s="40"/>
    </row>
    <row r="37" spans="1:8" x14ac:dyDescent="0.45">
      <c r="A37" s="39"/>
      <c r="B37" s="42"/>
      <c r="C37" s="39"/>
      <c r="D37" s="39"/>
      <c r="E37" s="40"/>
      <c r="F37" s="40"/>
      <c r="G37" s="6"/>
      <c r="H37" s="40"/>
    </row>
    <row r="38" spans="1:8" x14ac:dyDescent="0.45">
      <c r="A38" s="31"/>
      <c r="B38" s="31"/>
      <c r="C38" s="32"/>
      <c r="D38" s="32"/>
      <c r="E38" s="31"/>
      <c r="F38" s="31"/>
      <c r="G38" s="31"/>
    </row>
    <row r="39" spans="1:8" x14ac:dyDescent="0.45">
      <c r="A39" s="31"/>
      <c r="B39" s="31"/>
      <c r="C39" s="32"/>
      <c r="D39" s="32"/>
      <c r="E39" s="31"/>
      <c r="F39" s="31"/>
      <c r="G39" s="31"/>
    </row>
    <row r="40" spans="1:8" x14ac:dyDescent="0.45">
      <c r="A40" s="31"/>
      <c r="B40" s="31"/>
      <c r="C40" s="32"/>
      <c r="D40" s="32"/>
      <c r="E40" s="31"/>
      <c r="F40" s="31"/>
      <c r="G40" s="31"/>
    </row>
    <row r="41" spans="1:8" x14ac:dyDescent="0.45">
      <c r="A41" s="31"/>
      <c r="B41" s="31"/>
      <c r="C41" s="32"/>
      <c r="D41" s="32"/>
      <c r="E41" s="31"/>
      <c r="F41" s="31"/>
      <c r="G41" s="31"/>
    </row>
    <row r="42" spans="1:8" x14ac:dyDescent="0.45">
      <c r="A42" s="31"/>
      <c r="B42" s="31"/>
      <c r="C42" s="32"/>
      <c r="D42" s="32"/>
      <c r="E42" s="31"/>
      <c r="F42" s="31"/>
      <c r="G42" s="31"/>
    </row>
    <row r="43" spans="1:8" x14ac:dyDescent="0.45">
      <c r="A43" s="31"/>
      <c r="B43" s="31"/>
      <c r="C43" s="32"/>
      <c r="D43" s="32"/>
      <c r="E43" s="31"/>
      <c r="F43" s="31"/>
      <c r="G43" s="31"/>
    </row>
    <row r="44" spans="1:8" x14ac:dyDescent="0.45">
      <c r="A44" s="31"/>
      <c r="B44" s="31"/>
      <c r="C44" s="32"/>
      <c r="D44" s="32"/>
      <c r="E44" s="31"/>
      <c r="F44" s="31"/>
      <c r="G44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0">
    <tabColor rgb="FF92D050"/>
  </sheetPr>
  <dimension ref="A1:G44"/>
  <sheetViews>
    <sheetView workbookViewId="0">
      <pane ySplit="5" topLeftCell="A25" activePane="bottomLeft" state="frozen"/>
      <selection pane="bottomLeft" activeCell="B32" sqref="B32:D32"/>
    </sheetView>
  </sheetViews>
  <sheetFormatPr defaultColWidth="10.81640625" defaultRowHeight="16.5" x14ac:dyDescent="0.45"/>
  <cols>
    <col min="1" max="1" width="11" style="9" bestFit="1" customWidth="1"/>
    <col min="2" max="2" width="11" style="9" customWidth="1"/>
    <col min="3" max="3" width="15.26953125" style="6" bestFit="1" customWidth="1"/>
    <col min="4" max="4" width="10.453125" style="9" bestFit="1" customWidth="1"/>
    <col min="5" max="6" width="9.81640625" style="9" bestFit="1" customWidth="1"/>
    <col min="7" max="16384" width="10.81640625" style="6"/>
  </cols>
  <sheetData>
    <row r="1" spans="1:7" s="16" customFormat="1" ht="11.5" customHeight="1" x14ac:dyDescent="0.35">
      <c r="A1" s="129" t="s">
        <v>390</v>
      </c>
      <c r="B1" s="129"/>
      <c r="C1" s="13" t="s">
        <v>114</v>
      </c>
      <c r="D1" s="14">
        <f>COUNT(D7:D40)</f>
        <v>28</v>
      </c>
      <c r="E1" s="14">
        <f>COUNT(E7:E40)</f>
        <v>0</v>
      </c>
      <c r="F1" s="14">
        <f>COUNT(F7:F40)</f>
        <v>0</v>
      </c>
    </row>
    <row r="2" spans="1:7" s="16" customFormat="1" ht="11.5" customHeight="1" x14ac:dyDescent="0.35">
      <c r="A2" s="130" t="s">
        <v>184</v>
      </c>
      <c r="B2" s="130"/>
      <c r="C2" s="13" t="s">
        <v>109</v>
      </c>
      <c r="D2" s="14">
        <f>SUM(D7:D43)</f>
        <v>8308</v>
      </c>
      <c r="E2" s="14">
        <f>SUM(E7:E43)</f>
        <v>0</v>
      </c>
      <c r="F2" s="14">
        <f>SUM(F7:F43)</f>
        <v>0</v>
      </c>
    </row>
    <row r="3" spans="1:7" s="16" customFormat="1" ht="11.5" customHeight="1" x14ac:dyDescent="0.35">
      <c r="A3" s="17"/>
      <c r="B3" s="17"/>
      <c r="C3" s="13" t="s">
        <v>108</v>
      </c>
      <c r="D3" s="14">
        <f>D2/COUNT(D7:D43)</f>
        <v>296.71428571428572</v>
      </c>
      <c r="E3" s="14" t="e">
        <f>E2/COUNT(E7:E43)</f>
        <v>#DIV/0!</v>
      </c>
      <c r="F3" s="14" t="e">
        <f>F2/COUNT(F7:F43)</f>
        <v>#DIV/0!</v>
      </c>
    </row>
    <row r="4" spans="1:7" s="16" customFormat="1" ht="11.5" customHeight="1" x14ac:dyDescent="0.35">
      <c r="A4" s="17"/>
      <c r="B4" s="17"/>
      <c r="C4" s="13" t="s">
        <v>110</v>
      </c>
      <c r="D4" s="14"/>
      <c r="E4" s="18"/>
      <c r="F4" s="18" t="e">
        <f>((F2-D2)/(F6-D6))/F1</f>
        <v>#DIV/0!</v>
      </c>
    </row>
    <row r="5" spans="1:7" s="16" customFormat="1" ht="11.5" customHeight="1" x14ac:dyDescent="0.35">
      <c r="A5" s="20"/>
      <c r="B5" s="20"/>
      <c r="C5" s="21" t="s">
        <v>112</v>
      </c>
      <c r="D5" s="22"/>
      <c r="E5" s="23"/>
      <c r="F5" s="30" t="e">
        <f>F4*30</f>
        <v>#DIV/0!</v>
      </c>
    </row>
    <row r="6" spans="1:7" x14ac:dyDescent="0.45">
      <c r="A6" s="36" t="s">
        <v>182</v>
      </c>
      <c r="B6" s="36" t="s">
        <v>39</v>
      </c>
      <c r="C6" s="7" t="s">
        <v>0</v>
      </c>
      <c r="D6" s="28">
        <v>43606</v>
      </c>
      <c r="E6" s="28"/>
      <c r="F6" s="28"/>
    </row>
    <row r="7" spans="1:7" x14ac:dyDescent="0.45">
      <c r="A7" s="6"/>
      <c r="B7" s="6"/>
      <c r="C7" s="6" t="s">
        <v>15</v>
      </c>
      <c r="D7" s="37">
        <v>340</v>
      </c>
      <c r="F7" s="31"/>
      <c r="G7" s="37">
        <v>340</v>
      </c>
    </row>
    <row r="8" spans="1:7" x14ac:dyDescent="0.45">
      <c r="A8" s="6">
        <v>170126</v>
      </c>
      <c r="B8" s="6" t="s">
        <v>65</v>
      </c>
      <c r="C8" s="6" t="s">
        <v>26</v>
      </c>
      <c r="D8" s="9">
        <v>312</v>
      </c>
      <c r="F8" s="31"/>
      <c r="G8" s="9"/>
    </row>
    <row r="9" spans="1:7" x14ac:dyDescent="0.45">
      <c r="A9" s="6"/>
      <c r="B9" s="6" t="s">
        <v>66</v>
      </c>
      <c r="C9" s="6" t="s">
        <v>24</v>
      </c>
      <c r="D9" s="9">
        <v>276</v>
      </c>
      <c r="F9" s="31"/>
      <c r="G9" s="9"/>
    </row>
    <row r="10" spans="1:7" x14ac:dyDescent="0.45">
      <c r="A10" s="6"/>
      <c r="B10" s="6" t="s">
        <v>67</v>
      </c>
      <c r="C10" s="6" t="s">
        <v>24</v>
      </c>
      <c r="D10" s="9">
        <v>232</v>
      </c>
      <c r="F10" s="31"/>
      <c r="G10" s="9"/>
    </row>
    <row r="11" spans="1:7" x14ac:dyDescent="0.45">
      <c r="A11" s="6"/>
      <c r="B11" s="6" t="s">
        <v>68</v>
      </c>
      <c r="C11" s="6" t="s">
        <v>15</v>
      </c>
      <c r="D11" s="9">
        <v>294</v>
      </c>
      <c r="F11" s="31"/>
      <c r="G11" s="9"/>
    </row>
    <row r="12" spans="1:7" x14ac:dyDescent="0.45">
      <c r="A12" s="6"/>
      <c r="B12" s="6" t="s">
        <v>69</v>
      </c>
      <c r="C12" s="6" t="s">
        <v>9</v>
      </c>
      <c r="D12" s="9">
        <v>246</v>
      </c>
      <c r="F12" s="31"/>
      <c r="G12" s="9"/>
    </row>
    <row r="13" spans="1:7" x14ac:dyDescent="0.45">
      <c r="A13" s="6"/>
      <c r="B13" s="6" t="s">
        <v>70</v>
      </c>
      <c r="C13" s="6" t="s">
        <v>27</v>
      </c>
      <c r="D13" s="9">
        <v>257</v>
      </c>
      <c r="F13" s="31"/>
      <c r="G13" s="9"/>
    </row>
    <row r="14" spans="1:7" x14ac:dyDescent="0.45">
      <c r="A14" s="6">
        <v>170602</v>
      </c>
      <c r="B14" s="6" t="s">
        <v>71</v>
      </c>
      <c r="C14" s="6" t="s">
        <v>26</v>
      </c>
      <c r="D14" s="9">
        <v>311</v>
      </c>
      <c r="F14" s="31"/>
      <c r="G14" s="9"/>
    </row>
    <row r="15" spans="1:7" x14ac:dyDescent="0.45">
      <c r="A15" s="6"/>
      <c r="B15" s="6" t="s">
        <v>72</v>
      </c>
      <c r="C15" s="6" t="s">
        <v>23</v>
      </c>
      <c r="D15" s="9">
        <v>232</v>
      </c>
      <c r="F15" s="31"/>
      <c r="G15" s="9"/>
    </row>
    <row r="16" spans="1:7" x14ac:dyDescent="0.45">
      <c r="A16" s="6"/>
      <c r="B16" s="6" t="s">
        <v>73</v>
      </c>
      <c r="C16" s="6" t="s">
        <v>74</v>
      </c>
      <c r="D16" s="9">
        <v>285</v>
      </c>
      <c r="F16" s="31"/>
      <c r="G16" s="9"/>
    </row>
    <row r="17" spans="1:7" x14ac:dyDescent="0.45">
      <c r="F17" s="31"/>
      <c r="G17" s="9"/>
    </row>
    <row r="18" spans="1:7" x14ac:dyDescent="0.45">
      <c r="A18" s="6"/>
      <c r="B18" s="6" t="s">
        <v>76</v>
      </c>
      <c r="C18" s="6" t="s">
        <v>24</v>
      </c>
      <c r="D18" s="37">
        <v>332</v>
      </c>
      <c r="F18" s="31"/>
      <c r="G18" s="37">
        <v>332</v>
      </c>
    </row>
    <row r="19" spans="1:7" x14ac:dyDescent="0.45">
      <c r="A19" s="6">
        <v>161209</v>
      </c>
      <c r="B19" s="6" t="s">
        <v>77</v>
      </c>
      <c r="C19" s="6" t="s">
        <v>15</v>
      </c>
      <c r="D19" s="37">
        <v>352</v>
      </c>
      <c r="F19" s="31"/>
      <c r="G19" s="37">
        <v>352</v>
      </c>
    </row>
    <row r="20" spans="1:7" x14ac:dyDescent="0.45">
      <c r="A20" s="6">
        <v>170612</v>
      </c>
      <c r="B20" s="6" t="s">
        <v>78</v>
      </c>
      <c r="C20" s="6" t="s">
        <v>18</v>
      </c>
      <c r="D20" s="9">
        <v>285</v>
      </c>
      <c r="F20" s="31"/>
      <c r="G20" s="9"/>
    </row>
    <row r="21" spans="1:7" x14ac:dyDescent="0.45">
      <c r="A21" s="6">
        <v>170708</v>
      </c>
      <c r="B21" s="6" t="s">
        <v>79</v>
      </c>
      <c r="C21" s="6" t="s">
        <v>16</v>
      </c>
      <c r="D21" s="9">
        <v>306</v>
      </c>
      <c r="F21" s="31"/>
      <c r="G21" s="9"/>
    </row>
    <row r="22" spans="1:7" x14ac:dyDescent="0.45">
      <c r="A22" s="6">
        <v>160509</v>
      </c>
      <c r="B22" s="6" t="s">
        <v>80</v>
      </c>
      <c r="C22" s="6" t="s">
        <v>15</v>
      </c>
      <c r="D22" s="9">
        <v>326</v>
      </c>
      <c r="F22" s="31"/>
      <c r="G22" s="9"/>
    </row>
    <row r="23" spans="1:7" x14ac:dyDescent="0.45">
      <c r="A23" s="6">
        <v>170112</v>
      </c>
      <c r="B23" s="6" t="s">
        <v>81</v>
      </c>
      <c r="C23" s="6" t="s">
        <v>9</v>
      </c>
      <c r="D23" s="37">
        <v>385</v>
      </c>
      <c r="F23" s="31"/>
      <c r="G23" s="37">
        <v>385</v>
      </c>
    </row>
    <row r="24" spans="1:7" x14ac:dyDescent="0.45">
      <c r="A24" s="6"/>
      <c r="B24" s="6" t="s">
        <v>82</v>
      </c>
      <c r="C24" s="6" t="s">
        <v>18</v>
      </c>
      <c r="D24" s="9">
        <v>246</v>
      </c>
      <c r="F24" s="31"/>
      <c r="G24" s="9"/>
    </row>
    <row r="25" spans="1:7" x14ac:dyDescent="0.45">
      <c r="A25" s="6"/>
      <c r="B25" s="6" t="s">
        <v>83</v>
      </c>
      <c r="C25" s="6" t="s">
        <v>9</v>
      </c>
      <c r="D25" s="9">
        <v>315</v>
      </c>
      <c r="F25" s="31"/>
      <c r="G25" s="9"/>
    </row>
    <row r="26" spans="1:7" x14ac:dyDescent="0.45">
      <c r="A26" s="6">
        <v>170311</v>
      </c>
      <c r="B26" s="6" t="s">
        <v>84</v>
      </c>
      <c r="C26" s="6" t="s">
        <v>9</v>
      </c>
      <c r="D26" s="9">
        <v>302</v>
      </c>
      <c r="F26" s="31"/>
      <c r="G26" s="9"/>
    </row>
    <row r="27" spans="1:7" x14ac:dyDescent="0.45">
      <c r="A27" s="6"/>
      <c r="B27" s="6" t="s">
        <v>85</v>
      </c>
      <c r="C27" s="6" t="s">
        <v>9</v>
      </c>
      <c r="D27" s="37">
        <v>336</v>
      </c>
      <c r="F27" s="31"/>
      <c r="G27" s="37">
        <v>336</v>
      </c>
    </row>
    <row r="28" spans="1:7" x14ac:dyDescent="0.45">
      <c r="A28" s="6"/>
      <c r="B28" s="6" t="s">
        <v>86</v>
      </c>
      <c r="C28" s="6" t="s">
        <v>23</v>
      </c>
      <c r="D28" s="9">
        <v>265</v>
      </c>
      <c r="F28" s="31"/>
      <c r="G28" s="9"/>
    </row>
    <row r="29" spans="1:7" x14ac:dyDescent="0.45">
      <c r="A29" s="6">
        <v>170608</v>
      </c>
      <c r="B29" s="6" t="s">
        <v>87</v>
      </c>
      <c r="C29" s="6" t="s">
        <v>9</v>
      </c>
      <c r="D29" s="9">
        <v>254</v>
      </c>
      <c r="F29" s="31"/>
      <c r="G29" s="9"/>
    </row>
    <row r="30" spans="1:7" x14ac:dyDescent="0.45">
      <c r="A30" s="6"/>
      <c r="B30" s="6" t="s">
        <v>88</v>
      </c>
      <c r="C30" s="6" t="s">
        <v>15</v>
      </c>
      <c r="D30" s="9">
        <v>276</v>
      </c>
      <c r="F30" s="31"/>
      <c r="G30" s="9"/>
    </row>
    <row r="31" spans="1:7" x14ac:dyDescent="0.45">
      <c r="A31" s="6"/>
      <c r="B31" s="6" t="s">
        <v>89</v>
      </c>
      <c r="C31" s="6" t="s">
        <v>21</v>
      </c>
      <c r="D31" s="9">
        <v>314</v>
      </c>
      <c r="F31" s="31"/>
      <c r="G31" s="9"/>
    </row>
    <row r="32" spans="1:7" x14ac:dyDescent="0.45">
      <c r="A32" s="6"/>
      <c r="F32" s="31"/>
      <c r="G32" s="9"/>
    </row>
    <row r="33" spans="1:7" x14ac:dyDescent="0.45">
      <c r="A33" s="6"/>
      <c r="B33" s="6" t="s">
        <v>91</v>
      </c>
      <c r="C33" s="6" t="s">
        <v>9</v>
      </c>
      <c r="D33" s="37">
        <v>338</v>
      </c>
      <c r="F33" s="31"/>
      <c r="G33" s="37">
        <v>338</v>
      </c>
    </row>
    <row r="34" spans="1:7" x14ac:dyDescent="0.45">
      <c r="A34" s="6">
        <v>170503</v>
      </c>
      <c r="B34" s="6" t="s">
        <v>92</v>
      </c>
      <c r="C34" s="6" t="s">
        <v>9</v>
      </c>
      <c r="D34" s="37">
        <v>343</v>
      </c>
      <c r="F34" s="31"/>
      <c r="G34" s="37">
        <v>343</v>
      </c>
    </row>
    <row r="35" spans="1:7" x14ac:dyDescent="0.45">
      <c r="A35" s="6"/>
      <c r="B35" s="6" t="s">
        <v>93</v>
      </c>
      <c r="C35" s="6" t="s">
        <v>18</v>
      </c>
      <c r="D35" s="9">
        <v>308</v>
      </c>
      <c r="F35" s="31"/>
      <c r="G35" s="9"/>
    </row>
    <row r="36" spans="1:7" x14ac:dyDescent="0.45">
      <c r="A36" s="6"/>
      <c r="B36" s="6" t="s">
        <v>94</v>
      </c>
      <c r="C36" s="6" t="s">
        <v>9</v>
      </c>
      <c r="D36" s="9">
        <v>240</v>
      </c>
      <c r="F36" s="31"/>
      <c r="G36" s="9"/>
    </row>
    <row r="37" spans="1:7" x14ac:dyDescent="0.45">
      <c r="A37" s="6"/>
      <c r="B37" s="38"/>
      <c r="F37" s="31"/>
      <c r="G37" s="37">
        <v>346</v>
      </c>
    </row>
    <row r="38" spans="1:7" x14ac:dyDescent="0.45">
      <c r="A38" s="31"/>
      <c r="B38" s="31"/>
      <c r="C38" s="32"/>
      <c r="D38" s="31"/>
      <c r="E38" s="31"/>
      <c r="F38" s="31"/>
    </row>
    <row r="39" spans="1:7" x14ac:dyDescent="0.45">
      <c r="A39" s="31"/>
      <c r="B39" s="31"/>
      <c r="C39" s="32"/>
      <c r="D39" s="31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  <row r="43" spans="1:7" x14ac:dyDescent="0.45">
      <c r="A43" s="31"/>
      <c r="B43" s="31"/>
      <c r="C43" s="32"/>
      <c r="D43" s="31"/>
      <c r="E43" s="31"/>
      <c r="F43" s="31"/>
    </row>
    <row r="44" spans="1:7" x14ac:dyDescent="0.45">
      <c r="A44" s="31"/>
      <c r="B44" s="31"/>
      <c r="C44" s="32"/>
      <c r="D44" s="31"/>
      <c r="E44" s="31"/>
      <c r="F44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32">
    <tabColor rgb="FF92D050"/>
  </sheetPr>
  <dimension ref="A1:I43"/>
  <sheetViews>
    <sheetView workbookViewId="0">
      <pane ySplit="5" topLeftCell="A6" activePane="bottomLeft" state="frozen"/>
      <selection pane="bottomLeft" activeCell="E10" sqref="E10"/>
    </sheetView>
  </sheetViews>
  <sheetFormatPr defaultColWidth="10.81640625" defaultRowHeight="16.5" x14ac:dyDescent="0.45"/>
  <cols>
    <col min="1" max="1" width="11.453125" style="9" bestFit="1" customWidth="1"/>
    <col min="2" max="2" width="11.453125" style="9" customWidth="1"/>
    <col min="3" max="3" width="17.26953125" style="6" bestFit="1" customWidth="1"/>
    <col min="4" max="4" width="13" style="9" customWidth="1"/>
    <col min="5" max="6" width="10.453125" style="9" bestFit="1" customWidth="1"/>
    <col min="7" max="7" width="10.81640625" style="9"/>
    <col min="8" max="16384" width="10.81640625" style="6"/>
  </cols>
  <sheetData>
    <row r="1" spans="1:9" s="16" customFormat="1" ht="17.5" customHeight="1" x14ac:dyDescent="0.35">
      <c r="A1" s="63" t="s">
        <v>384</v>
      </c>
      <c r="B1" s="74"/>
      <c r="C1" s="13" t="s">
        <v>114</v>
      </c>
      <c r="D1" s="14">
        <f>COUNT(D7:D43)</f>
        <v>37</v>
      </c>
      <c r="E1" s="14">
        <f>COUNT(E7:E39)</f>
        <v>0</v>
      </c>
      <c r="F1" s="14">
        <f>COUNT(F7:F39)</f>
        <v>0</v>
      </c>
      <c r="G1" s="60"/>
    </row>
    <row r="2" spans="1:9" s="16" customFormat="1" ht="11.5" customHeight="1" x14ac:dyDescent="0.35">
      <c r="A2" s="64"/>
      <c r="B2" s="75"/>
      <c r="C2" s="13" t="s">
        <v>109</v>
      </c>
      <c r="D2" s="14">
        <f>SUM(D7:D43)</f>
        <v>10540</v>
      </c>
      <c r="E2" s="14">
        <f>SUM(E7:E42)</f>
        <v>0</v>
      </c>
      <c r="F2" s="14">
        <f>SUM(F7:F42)</f>
        <v>0</v>
      </c>
      <c r="G2" s="61"/>
    </row>
    <row r="3" spans="1:9" s="16" customFormat="1" ht="11.5" customHeight="1" x14ac:dyDescent="0.35">
      <c r="A3" s="17"/>
      <c r="B3" s="17"/>
      <c r="C3" s="13" t="s">
        <v>108</v>
      </c>
      <c r="D3" s="14">
        <f>D2/COUNT(D7:D43)</f>
        <v>284.86486486486484</v>
      </c>
      <c r="E3" s="14" t="e">
        <f>E2/COUNT(E7:E42)</f>
        <v>#DIV/0!</v>
      </c>
      <c r="F3" s="14" t="e">
        <f>F2/COUNT(F7:F42)</f>
        <v>#DIV/0!</v>
      </c>
      <c r="G3" s="61"/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  <c r="G4" s="61"/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  <c r="G5" s="61"/>
    </row>
    <row r="6" spans="1:9" x14ac:dyDescent="0.45">
      <c r="A6" s="36" t="s">
        <v>182</v>
      </c>
      <c r="B6" s="36"/>
      <c r="C6" s="7" t="s">
        <v>0</v>
      </c>
      <c r="D6" s="28">
        <v>43644</v>
      </c>
      <c r="E6" s="28"/>
      <c r="F6" s="28"/>
      <c r="G6" s="3"/>
      <c r="I6"/>
    </row>
    <row r="7" spans="1:9" x14ac:dyDescent="0.45">
      <c r="A7" s="9">
        <v>9601</v>
      </c>
      <c r="C7" s="65" t="s">
        <v>270</v>
      </c>
      <c r="D7" s="9">
        <v>263</v>
      </c>
      <c r="G7" s="3"/>
      <c r="H7" s="48"/>
      <c r="I7"/>
    </row>
    <row r="8" spans="1:9" x14ac:dyDescent="0.45">
      <c r="A8" s="9">
        <v>9602</v>
      </c>
      <c r="C8" s="66" t="s">
        <v>16</v>
      </c>
      <c r="D8" s="9">
        <v>263</v>
      </c>
      <c r="G8" s="3"/>
      <c r="H8" s="48"/>
      <c r="I8"/>
    </row>
    <row r="9" spans="1:9" x14ac:dyDescent="0.45">
      <c r="A9" s="9">
        <v>9603</v>
      </c>
      <c r="C9" s="6" t="s">
        <v>23</v>
      </c>
      <c r="D9" s="9">
        <v>300</v>
      </c>
      <c r="G9" s="3"/>
      <c r="H9" s="48"/>
      <c r="I9"/>
    </row>
    <row r="10" spans="1:9" x14ac:dyDescent="0.45">
      <c r="A10" s="9">
        <v>9604</v>
      </c>
      <c r="C10" s="6" t="s">
        <v>16</v>
      </c>
      <c r="D10" s="9">
        <v>326</v>
      </c>
      <c r="G10" s="3"/>
      <c r="H10" s="48"/>
      <c r="I10"/>
    </row>
    <row r="11" spans="1:9" x14ac:dyDescent="0.45">
      <c r="A11" s="9">
        <v>9605</v>
      </c>
      <c r="C11" s="6" t="s">
        <v>23</v>
      </c>
      <c r="D11" s="9">
        <v>312</v>
      </c>
      <c r="G11" s="3"/>
      <c r="H11" s="48"/>
      <c r="I11" s="48"/>
    </row>
    <row r="12" spans="1:9" x14ac:dyDescent="0.45">
      <c r="A12" s="9">
        <v>9606</v>
      </c>
      <c r="C12" s="6" t="s">
        <v>224</v>
      </c>
      <c r="D12" s="9">
        <v>308</v>
      </c>
      <c r="G12" s="3"/>
      <c r="H12" s="48"/>
      <c r="I12" s="48"/>
    </row>
    <row r="13" spans="1:9" x14ac:dyDescent="0.45">
      <c r="A13" s="9">
        <v>9607</v>
      </c>
      <c r="C13" s="6" t="s">
        <v>15</v>
      </c>
      <c r="D13" s="9">
        <v>315</v>
      </c>
      <c r="G13" s="3"/>
      <c r="H13" s="48"/>
      <c r="I13" s="48"/>
    </row>
    <row r="14" spans="1:9" x14ac:dyDescent="0.45">
      <c r="A14" s="9">
        <v>9608</v>
      </c>
      <c r="C14" s="6" t="s">
        <v>16</v>
      </c>
      <c r="D14" s="9">
        <v>315</v>
      </c>
      <c r="G14" s="3"/>
      <c r="H14" s="48"/>
      <c r="I14" s="49"/>
    </row>
    <row r="15" spans="1:9" x14ac:dyDescent="0.45">
      <c r="A15" s="9">
        <v>9609</v>
      </c>
      <c r="C15" s="6" t="s">
        <v>271</v>
      </c>
      <c r="D15" s="9">
        <v>246</v>
      </c>
      <c r="G15" s="3"/>
      <c r="H15" s="49"/>
      <c r="I15" s="49"/>
    </row>
    <row r="16" spans="1:9" x14ac:dyDescent="0.45">
      <c r="A16" s="9">
        <v>9610</v>
      </c>
      <c r="C16" s="6" t="s">
        <v>272</v>
      </c>
      <c r="D16" s="9">
        <v>208</v>
      </c>
      <c r="G16" s="3"/>
      <c r="H16" s="49"/>
      <c r="I16" s="49"/>
    </row>
    <row r="17" spans="1:9" x14ac:dyDescent="0.45">
      <c r="A17" s="9">
        <v>9611</v>
      </c>
      <c r="C17" s="6" t="s">
        <v>272</v>
      </c>
      <c r="D17" s="9">
        <v>248</v>
      </c>
      <c r="G17" s="3"/>
      <c r="H17" s="49"/>
      <c r="I17" s="49"/>
    </row>
    <row r="18" spans="1:9" x14ac:dyDescent="0.45">
      <c r="A18" s="9">
        <v>9612</v>
      </c>
      <c r="C18" s="6" t="s">
        <v>18</v>
      </c>
      <c r="D18" s="9">
        <v>255</v>
      </c>
      <c r="G18" s="3"/>
      <c r="H18" s="49"/>
      <c r="I18" s="49"/>
    </row>
    <row r="19" spans="1:9" x14ac:dyDescent="0.45">
      <c r="A19" s="9">
        <v>9613</v>
      </c>
      <c r="C19" s="6" t="s">
        <v>15</v>
      </c>
      <c r="D19" s="9">
        <v>275</v>
      </c>
      <c r="G19" s="3"/>
      <c r="H19" s="49"/>
      <c r="I19" s="49"/>
    </row>
    <row r="20" spans="1:9" x14ac:dyDescent="0.45">
      <c r="A20" s="9">
        <v>9614</v>
      </c>
      <c r="C20" s="6" t="s">
        <v>16</v>
      </c>
      <c r="D20" s="9">
        <v>295</v>
      </c>
      <c r="G20" s="3"/>
      <c r="H20" s="49"/>
      <c r="I20" s="49"/>
    </row>
    <row r="21" spans="1:9" x14ac:dyDescent="0.45">
      <c r="A21" s="9">
        <v>9615</v>
      </c>
      <c r="C21" s="6" t="s">
        <v>15</v>
      </c>
      <c r="D21" s="9">
        <v>310</v>
      </c>
      <c r="G21" s="3"/>
      <c r="H21" s="49"/>
      <c r="I21" s="49"/>
    </row>
    <row r="22" spans="1:9" x14ac:dyDescent="0.45">
      <c r="A22" s="9">
        <v>9616</v>
      </c>
      <c r="C22" s="6" t="s">
        <v>15</v>
      </c>
      <c r="D22" s="9">
        <v>245</v>
      </c>
      <c r="G22" s="3"/>
      <c r="H22" s="49"/>
      <c r="I22" s="49"/>
    </row>
    <row r="23" spans="1:9" x14ac:dyDescent="0.45">
      <c r="A23" s="9">
        <v>9617</v>
      </c>
      <c r="C23" s="6" t="s">
        <v>18</v>
      </c>
      <c r="D23" s="9">
        <v>312</v>
      </c>
      <c r="G23" s="3"/>
      <c r="H23" s="49"/>
      <c r="I23" s="49"/>
    </row>
    <row r="24" spans="1:9" x14ac:dyDescent="0.45">
      <c r="A24" s="9">
        <v>9618</v>
      </c>
      <c r="C24" s="6" t="s">
        <v>273</v>
      </c>
      <c r="D24" s="9">
        <v>322</v>
      </c>
      <c r="G24" s="3"/>
      <c r="H24" s="49"/>
      <c r="I24" s="49"/>
    </row>
    <row r="25" spans="1:9" x14ac:dyDescent="0.45">
      <c r="A25" s="9">
        <v>9619</v>
      </c>
      <c r="C25" s="6" t="s">
        <v>274</v>
      </c>
      <c r="D25" s="9">
        <v>320</v>
      </c>
      <c r="G25" s="3"/>
      <c r="H25" s="49"/>
      <c r="I25" s="49"/>
    </row>
    <row r="26" spans="1:9" x14ac:dyDescent="0.45">
      <c r="A26" s="9">
        <v>9620</v>
      </c>
      <c r="C26" s="6" t="s">
        <v>9</v>
      </c>
      <c r="D26" s="9">
        <v>310</v>
      </c>
      <c r="G26" s="3"/>
      <c r="H26" s="48"/>
      <c r="I26" s="49"/>
    </row>
    <row r="27" spans="1:9" x14ac:dyDescent="0.45">
      <c r="A27" s="9">
        <v>9621</v>
      </c>
      <c r="C27" s="6" t="s">
        <v>18</v>
      </c>
      <c r="D27" s="9">
        <v>250</v>
      </c>
      <c r="G27" s="3"/>
    </row>
    <row r="28" spans="1:9" x14ac:dyDescent="0.45">
      <c r="A28" s="9">
        <v>9622</v>
      </c>
      <c r="C28" s="6" t="s">
        <v>16</v>
      </c>
      <c r="D28" s="9">
        <v>250</v>
      </c>
      <c r="G28" s="3"/>
    </row>
    <row r="29" spans="1:9" x14ac:dyDescent="0.45">
      <c r="A29" s="9">
        <v>9623</v>
      </c>
      <c r="C29" s="6" t="s">
        <v>9</v>
      </c>
      <c r="D29" s="9">
        <v>270</v>
      </c>
      <c r="G29" s="3"/>
    </row>
    <row r="30" spans="1:9" x14ac:dyDescent="0.45">
      <c r="A30" s="9">
        <v>9624</v>
      </c>
      <c r="C30" s="6" t="s">
        <v>271</v>
      </c>
      <c r="D30" s="9">
        <v>280</v>
      </c>
      <c r="G30" s="3"/>
    </row>
    <row r="31" spans="1:9" x14ac:dyDescent="0.45">
      <c r="A31" s="9">
        <v>9625</v>
      </c>
      <c r="C31" s="6" t="s">
        <v>251</v>
      </c>
      <c r="D31" s="9">
        <v>290</v>
      </c>
      <c r="G31" s="3"/>
    </row>
    <row r="32" spans="1:9" x14ac:dyDescent="0.45">
      <c r="A32" s="9">
        <v>9626</v>
      </c>
      <c r="C32" s="6" t="s">
        <v>275</v>
      </c>
      <c r="D32" s="9">
        <v>350</v>
      </c>
      <c r="G32" s="3"/>
    </row>
    <row r="33" spans="1:7" x14ac:dyDescent="0.45">
      <c r="A33" s="9">
        <v>9627</v>
      </c>
      <c r="C33" s="6" t="s">
        <v>276</v>
      </c>
      <c r="D33" s="9">
        <v>240</v>
      </c>
      <c r="G33" s="3"/>
    </row>
    <row r="34" spans="1:7" x14ac:dyDescent="0.45">
      <c r="A34" s="9">
        <v>9628</v>
      </c>
      <c r="C34" s="6" t="s">
        <v>18</v>
      </c>
      <c r="D34" s="9">
        <v>315</v>
      </c>
      <c r="G34" s="3"/>
    </row>
    <row r="35" spans="1:7" x14ac:dyDescent="0.45">
      <c r="A35" s="9">
        <v>9629</v>
      </c>
      <c r="C35" s="6" t="s">
        <v>277</v>
      </c>
      <c r="D35" s="37">
        <v>310</v>
      </c>
      <c r="G35" s="3"/>
    </row>
    <row r="36" spans="1:7" x14ac:dyDescent="0.45">
      <c r="A36" s="9">
        <v>9630</v>
      </c>
      <c r="C36" s="6" t="s">
        <v>15</v>
      </c>
      <c r="D36" s="9">
        <v>200</v>
      </c>
      <c r="G36" s="3"/>
    </row>
    <row r="37" spans="1:7" x14ac:dyDescent="0.45">
      <c r="A37" s="9">
        <v>9631</v>
      </c>
      <c r="C37" s="6" t="s">
        <v>126</v>
      </c>
      <c r="D37" s="9">
        <v>310</v>
      </c>
      <c r="E37" s="31"/>
      <c r="F37" s="31"/>
    </row>
    <row r="38" spans="1:7" x14ac:dyDescent="0.45">
      <c r="A38" s="37">
        <v>9632</v>
      </c>
      <c r="B38" s="37"/>
      <c r="C38" s="6" t="s">
        <v>278</v>
      </c>
      <c r="D38" s="9">
        <v>335</v>
      </c>
      <c r="E38" s="31"/>
      <c r="F38" s="31"/>
    </row>
    <row r="39" spans="1:7" x14ac:dyDescent="0.45">
      <c r="A39" s="37">
        <v>9633</v>
      </c>
      <c r="B39" s="37"/>
      <c r="C39" s="6" t="s">
        <v>25</v>
      </c>
      <c r="D39" s="9">
        <v>305</v>
      </c>
      <c r="E39" s="31"/>
      <c r="F39" s="31"/>
    </row>
    <row r="40" spans="1:7" x14ac:dyDescent="0.45">
      <c r="A40" s="37">
        <v>9634</v>
      </c>
      <c r="B40" s="37"/>
      <c r="C40" s="32" t="s">
        <v>16</v>
      </c>
      <c r="D40" s="31">
        <v>280</v>
      </c>
      <c r="E40" s="31"/>
      <c r="F40" s="31"/>
    </row>
    <row r="41" spans="1:7" x14ac:dyDescent="0.45">
      <c r="A41" s="37">
        <v>9635</v>
      </c>
      <c r="B41" s="37"/>
      <c r="C41" s="32" t="s">
        <v>277</v>
      </c>
      <c r="D41" s="31">
        <v>245</v>
      </c>
      <c r="E41" s="31"/>
      <c r="F41" s="31"/>
    </row>
    <row r="42" spans="1:7" x14ac:dyDescent="0.45">
      <c r="A42" s="37">
        <v>9636</v>
      </c>
      <c r="B42" s="37"/>
      <c r="C42" s="32" t="s">
        <v>16</v>
      </c>
      <c r="D42" s="31">
        <v>260</v>
      </c>
      <c r="E42" s="31"/>
      <c r="F42" s="31"/>
    </row>
    <row r="43" spans="1:7" x14ac:dyDescent="0.45">
      <c r="A43" s="37">
        <v>9637</v>
      </c>
      <c r="B43" s="37"/>
      <c r="C43" s="32" t="s">
        <v>16</v>
      </c>
      <c r="D43" s="31">
        <v>302</v>
      </c>
      <c r="E43" s="31"/>
      <c r="F43" s="31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33">
    <tabColor rgb="FF92D050"/>
  </sheetPr>
  <dimension ref="A1:J43"/>
  <sheetViews>
    <sheetView workbookViewId="0">
      <pane ySplit="5" topLeftCell="A6" activePane="bottomLeft" state="frozen"/>
      <selection pane="bottomLeft" activeCell="K15" sqref="K15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8.26953125" style="6" bestFit="1" customWidth="1"/>
    <col min="4" max="4" width="18.26953125" style="6" customWidth="1"/>
    <col min="5" max="5" width="13" style="9" customWidth="1"/>
    <col min="6" max="7" width="10.453125" style="9" bestFit="1" customWidth="1"/>
    <col min="8" max="8" width="10.81640625" style="9"/>
    <col min="9" max="16384" width="10.81640625" style="6"/>
  </cols>
  <sheetData>
    <row r="1" spans="1:10" s="16" customFormat="1" ht="17.5" x14ac:dyDescent="0.35">
      <c r="A1" s="129" t="s">
        <v>267</v>
      </c>
      <c r="B1" s="129"/>
      <c r="C1" s="13" t="s">
        <v>114</v>
      </c>
      <c r="D1" s="14">
        <f>COUNT(D7:D45)</f>
        <v>33</v>
      </c>
      <c r="E1" s="14">
        <f>COUNT(E7:E45)</f>
        <v>33</v>
      </c>
      <c r="F1" s="14"/>
      <c r="G1" s="14">
        <f>COUNT(G7:G39)</f>
        <v>0</v>
      </c>
      <c r="H1" s="60"/>
    </row>
    <row r="2" spans="1:10" s="16" customFormat="1" ht="11.5" customHeight="1" x14ac:dyDescent="0.35">
      <c r="A2" s="130" t="s">
        <v>268</v>
      </c>
      <c r="B2" s="130"/>
      <c r="C2" s="13" t="s">
        <v>109</v>
      </c>
      <c r="D2" s="14">
        <f>SUM(D7:D42)</f>
        <v>11410</v>
      </c>
      <c r="E2" s="14">
        <f>SUM(E7:E42)</f>
        <v>8905</v>
      </c>
      <c r="F2" s="14"/>
      <c r="G2" s="14">
        <f>SUM(G7:G42)</f>
        <v>0</v>
      </c>
      <c r="H2" s="61"/>
    </row>
    <row r="3" spans="1:10" s="16" customFormat="1" ht="11.5" customHeight="1" x14ac:dyDescent="0.35">
      <c r="A3" s="17"/>
      <c r="B3" s="17"/>
      <c r="C3" s="13" t="s">
        <v>108</v>
      </c>
      <c r="D3" s="14">
        <f>D2/COUNT(D7:D42)</f>
        <v>345.75757575757575</v>
      </c>
      <c r="E3" s="14">
        <f>E2/COUNT(E7:E42)</f>
        <v>269.84848484848487</v>
      </c>
      <c r="F3" s="14"/>
      <c r="G3" s="14" t="e">
        <f>G2/COUNT(G7:G42)</f>
        <v>#DIV/0!</v>
      </c>
      <c r="H3" s="61"/>
    </row>
    <row r="4" spans="1:10" s="16" customFormat="1" ht="11.5" customHeight="1" x14ac:dyDescent="0.35">
      <c r="A4" s="17"/>
      <c r="B4" s="17"/>
      <c r="C4" s="13" t="s">
        <v>110</v>
      </c>
      <c r="D4" s="18"/>
      <c r="E4" s="14"/>
      <c r="F4" s="18"/>
      <c r="G4" s="18" t="e">
        <f>((G2-E2)/(G6-E6))/G1</f>
        <v>#DIV/0!</v>
      </c>
      <c r="H4" s="61"/>
    </row>
    <row r="5" spans="1:10" s="16" customFormat="1" ht="11.5" customHeight="1" x14ac:dyDescent="0.35">
      <c r="A5" s="20"/>
      <c r="B5" s="20"/>
      <c r="C5" s="21" t="s">
        <v>112</v>
      </c>
      <c r="D5" s="23"/>
      <c r="E5" s="22"/>
      <c r="F5" s="23"/>
      <c r="G5" s="30" t="e">
        <f>G4*30</f>
        <v>#DIV/0!</v>
      </c>
      <c r="H5" s="61"/>
    </row>
    <row r="6" spans="1:10" x14ac:dyDescent="0.45">
      <c r="A6" s="36" t="s">
        <v>182</v>
      </c>
      <c r="B6" s="36" t="s">
        <v>39</v>
      </c>
      <c r="C6" s="7" t="s">
        <v>0</v>
      </c>
      <c r="D6" s="28">
        <v>43637</v>
      </c>
      <c r="E6" s="28">
        <v>43455</v>
      </c>
      <c r="F6" s="28"/>
      <c r="G6" s="28"/>
      <c r="H6" s="1" t="s">
        <v>269</v>
      </c>
      <c r="J6"/>
    </row>
    <row r="7" spans="1:10" x14ac:dyDescent="0.45">
      <c r="A7" s="9">
        <v>8613</v>
      </c>
      <c r="C7" s="6" t="s">
        <v>23</v>
      </c>
      <c r="D7" s="9">
        <v>340</v>
      </c>
      <c r="E7" s="9">
        <v>253</v>
      </c>
      <c r="H7" s="27">
        <f t="shared" ref="H7:H39" si="0">((F7-E7)/($F$6-$E$6))*30</f>
        <v>0.17466344494304453</v>
      </c>
      <c r="I7" s="48"/>
      <c r="J7"/>
    </row>
    <row r="8" spans="1:10" x14ac:dyDescent="0.45">
      <c r="A8" s="9">
        <v>8614</v>
      </c>
      <c r="C8" s="6" t="s">
        <v>261</v>
      </c>
      <c r="D8" s="9">
        <v>310</v>
      </c>
      <c r="E8" s="9">
        <v>250</v>
      </c>
      <c r="H8" s="27">
        <f t="shared" si="0"/>
        <v>0.17259233690024164</v>
      </c>
      <c r="I8" s="48"/>
      <c r="J8"/>
    </row>
    <row r="9" spans="1:10" x14ac:dyDescent="0.45">
      <c r="A9" s="9">
        <v>8616</v>
      </c>
      <c r="C9" s="6" t="s">
        <v>23</v>
      </c>
      <c r="D9" s="9">
        <v>340</v>
      </c>
      <c r="E9" s="9">
        <v>257</v>
      </c>
      <c r="H9" s="27">
        <f t="shared" si="0"/>
        <v>0.17742492233344839</v>
      </c>
      <c r="I9" s="48"/>
      <c r="J9"/>
    </row>
    <row r="10" spans="1:10" x14ac:dyDescent="0.45">
      <c r="A10" s="9">
        <v>8617</v>
      </c>
      <c r="C10" s="6" t="s">
        <v>261</v>
      </c>
      <c r="D10" s="9">
        <v>290</v>
      </c>
      <c r="E10" s="9">
        <v>270</v>
      </c>
      <c r="H10" s="27">
        <f t="shared" si="0"/>
        <v>0.18639972385226097</v>
      </c>
      <c r="I10" s="48"/>
      <c r="J10"/>
    </row>
    <row r="11" spans="1:10" x14ac:dyDescent="0.45">
      <c r="A11" s="9">
        <v>8618</v>
      </c>
      <c r="C11" s="6" t="s">
        <v>23</v>
      </c>
      <c r="D11" s="9">
        <v>320</v>
      </c>
      <c r="E11" s="9">
        <v>255</v>
      </c>
      <c r="H11" s="27">
        <f t="shared" si="0"/>
        <v>0.17604418363824645</v>
      </c>
      <c r="I11" s="48"/>
      <c r="J11" s="48"/>
    </row>
    <row r="12" spans="1:10" x14ac:dyDescent="0.45">
      <c r="A12" s="9">
        <v>8620</v>
      </c>
      <c r="C12" s="6" t="s">
        <v>9</v>
      </c>
      <c r="D12" s="9">
        <v>320</v>
      </c>
      <c r="E12" s="9">
        <v>250</v>
      </c>
      <c r="H12" s="27">
        <f t="shared" si="0"/>
        <v>0.17259233690024164</v>
      </c>
      <c r="I12" s="48"/>
      <c r="J12" s="48"/>
    </row>
    <row r="13" spans="1:10" x14ac:dyDescent="0.45">
      <c r="A13" s="9">
        <v>8623</v>
      </c>
      <c r="C13" s="6" t="s">
        <v>251</v>
      </c>
      <c r="D13" s="9">
        <v>320</v>
      </c>
      <c r="E13" s="9">
        <v>270</v>
      </c>
      <c r="H13" s="27">
        <f t="shared" si="0"/>
        <v>0.18639972385226097</v>
      </c>
      <c r="I13" s="48"/>
      <c r="J13" s="48"/>
    </row>
    <row r="14" spans="1:10" x14ac:dyDescent="0.45">
      <c r="A14" s="9">
        <v>8624</v>
      </c>
      <c r="C14" s="6" t="s">
        <v>102</v>
      </c>
      <c r="D14" s="9">
        <v>390</v>
      </c>
      <c r="E14" s="9">
        <v>305</v>
      </c>
      <c r="H14" s="27">
        <f t="shared" si="0"/>
        <v>0.2105626510182948</v>
      </c>
      <c r="I14" s="48"/>
      <c r="J14" s="49"/>
    </row>
    <row r="15" spans="1:10" x14ac:dyDescent="0.45">
      <c r="A15" s="9">
        <v>8625</v>
      </c>
      <c r="C15" s="6" t="s">
        <v>19</v>
      </c>
      <c r="D15" s="9">
        <v>310</v>
      </c>
      <c r="E15" s="9">
        <v>260</v>
      </c>
      <c r="H15" s="27">
        <f t="shared" si="0"/>
        <v>0.17949603037625128</v>
      </c>
      <c r="I15" s="49"/>
      <c r="J15" s="49"/>
    </row>
    <row r="16" spans="1:10" x14ac:dyDescent="0.45">
      <c r="A16" s="9">
        <v>8626</v>
      </c>
      <c r="C16" s="6" t="s">
        <v>262</v>
      </c>
      <c r="D16" s="9">
        <v>390</v>
      </c>
      <c r="E16" s="9">
        <v>305</v>
      </c>
      <c r="H16" s="27">
        <f t="shared" si="0"/>
        <v>0.2105626510182948</v>
      </c>
      <c r="I16" s="49"/>
      <c r="J16" s="49"/>
    </row>
    <row r="17" spans="1:10" x14ac:dyDescent="0.45">
      <c r="A17" s="9">
        <v>8627</v>
      </c>
      <c r="C17" s="6" t="s">
        <v>18</v>
      </c>
      <c r="D17" s="9">
        <v>360</v>
      </c>
      <c r="E17" s="9">
        <v>285</v>
      </c>
      <c r="H17" s="27">
        <f t="shared" si="0"/>
        <v>0.19675526406627547</v>
      </c>
      <c r="I17" s="49"/>
      <c r="J17" s="49"/>
    </row>
    <row r="18" spans="1:10" x14ac:dyDescent="0.45">
      <c r="A18" s="9">
        <v>8628</v>
      </c>
      <c r="C18" s="6" t="s">
        <v>263</v>
      </c>
      <c r="D18" s="9">
        <v>430</v>
      </c>
      <c r="E18" s="9">
        <v>330</v>
      </c>
      <c r="H18" s="27">
        <f t="shared" si="0"/>
        <v>0.22782188470831893</v>
      </c>
      <c r="I18" s="49"/>
      <c r="J18" s="49"/>
    </row>
    <row r="19" spans="1:10" x14ac:dyDescent="0.45">
      <c r="A19" s="9">
        <v>8629</v>
      </c>
      <c r="C19" s="6" t="s">
        <v>23</v>
      </c>
      <c r="D19" s="9">
        <v>400</v>
      </c>
      <c r="E19" s="9">
        <v>320</v>
      </c>
      <c r="H19" s="27">
        <f t="shared" si="0"/>
        <v>0.2209181912323093</v>
      </c>
      <c r="I19" s="49"/>
      <c r="J19" s="49"/>
    </row>
    <row r="20" spans="1:10" x14ac:dyDescent="0.45">
      <c r="A20" s="9">
        <v>8631</v>
      </c>
      <c r="C20" s="6" t="s">
        <v>9</v>
      </c>
      <c r="D20" s="9">
        <v>300</v>
      </c>
      <c r="E20" s="9">
        <v>240</v>
      </c>
      <c r="H20" s="27">
        <f t="shared" si="0"/>
        <v>0.16568864342423195</v>
      </c>
      <c r="I20" s="49"/>
      <c r="J20" s="49"/>
    </row>
    <row r="21" spans="1:10" x14ac:dyDescent="0.45">
      <c r="A21" s="9">
        <v>8632</v>
      </c>
      <c r="C21" s="6" t="s">
        <v>23</v>
      </c>
      <c r="D21" s="9">
        <v>320</v>
      </c>
      <c r="E21" s="9">
        <v>230</v>
      </c>
      <c r="H21" s="27">
        <f t="shared" si="0"/>
        <v>0.15878494994822231</v>
      </c>
      <c r="I21" s="49"/>
      <c r="J21" s="49"/>
    </row>
    <row r="22" spans="1:10" x14ac:dyDescent="0.45">
      <c r="A22" s="9">
        <v>8633</v>
      </c>
      <c r="C22" s="6" t="s">
        <v>264</v>
      </c>
      <c r="D22" s="9">
        <v>360</v>
      </c>
      <c r="E22" s="9">
        <v>290</v>
      </c>
      <c r="H22" s="27">
        <f t="shared" si="0"/>
        <v>0.20020711080428027</v>
      </c>
      <c r="I22" s="49"/>
      <c r="J22" s="49"/>
    </row>
    <row r="23" spans="1:10" x14ac:dyDescent="0.45">
      <c r="A23" s="9">
        <v>8634</v>
      </c>
      <c r="C23" s="6" t="s">
        <v>18</v>
      </c>
      <c r="D23" s="9">
        <v>300</v>
      </c>
      <c r="E23" s="9">
        <v>240</v>
      </c>
      <c r="H23" s="27">
        <f t="shared" si="0"/>
        <v>0.16568864342423195</v>
      </c>
      <c r="I23" s="49"/>
      <c r="J23" s="49"/>
    </row>
    <row r="24" spans="1:10" x14ac:dyDescent="0.45">
      <c r="A24" s="9">
        <v>8635</v>
      </c>
      <c r="C24" s="6" t="s">
        <v>23</v>
      </c>
      <c r="D24" s="9">
        <v>390</v>
      </c>
      <c r="E24" s="9">
        <v>310</v>
      </c>
      <c r="H24" s="27">
        <f t="shared" si="0"/>
        <v>0.2140144977562996</v>
      </c>
      <c r="I24" s="49"/>
      <c r="J24" s="49"/>
    </row>
    <row r="25" spans="1:10" x14ac:dyDescent="0.45">
      <c r="A25" s="9">
        <v>8636</v>
      </c>
      <c r="C25" s="6" t="s">
        <v>131</v>
      </c>
      <c r="D25" s="9">
        <v>340</v>
      </c>
      <c r="E25" s="9">
        <v>285</v>
      </c>
      <c r="H25" s="27">
        <f t="shared" si="0"/>
        <v>0.19675526406627547</v>
      </c>
      <c r="I25" s="49"/>
      <c r="J25" s="49"/>
    </row>
    <row r="26" spans="1:10" x14ac:dyDescent="0.45">
      <c r="A26" s="9">
        <v>8637</v>
      </c>
      <c r="C26" s="6" t="s">
        <v>251</v>
      </c>
      <c r="D26" s="9">
        <v>320</v>
      </c>
      <c r="E26" s="9">
        <v>230</v>
      </c>
      <c r="H26" s="27">
        <f t="shared" si="0"/>
        <v>0.15878494994822231</v>
      </c>
      <c r="I26" s="48"/>
      <c r="J26" s="49"/>
    </row>
    <row r="27" spans="1:10" x14ac:dyDescent="0.45">
      <c r="A27" s="9">
        <v>8638</v>
      </c>
      <c r="C27" s="6" t="s">
        <v>23</v>
      </c>
      <c r="D27" s="9">
        <v>420</v>
      </c>
      <c r="E27" s="9">
        <v>340</v>
      </c>
      <c r="H27" s="27">
        <f t="shared" si="0"/>
        <v>0.2347255781843286</v>
      </c>
    </row>
    <row r="28" spans="1:10" x14ac:dyDescent="0.45">
      <c r="A28" s="9">
        <v>8639</v>
      </c>
      <c r="C28" s="6" t="s">
        <v>265</v>
      </c>
      <c r="D28" s="9">
        <v>360</v>
      </c>
      <c r="E28" s="9">
        <v>290</v>
      </c>
      <c r="H28" s="27">
        <f t="shared" si="0"/>
        <v>0.20020711080428027</v>
      </c>
    </row>
    <row r="29" spans="1:10" x14ac:dyDescent="0.45">
      <c r="A29" s="9">
        <v>8640</v>
      </c>
      <c r="C29" s="6" t="s">
        <v>23</v>
      </c>
      <c r="D29" s="9">
        <v>330</v>
      </c>
      <c r="E29" s="9">
        <v>260</v>
      </c>
      <c r="H29" s="27">
        <f t="shared" si="0"/>
        <v>0.17949603037625128</v>
      </c>
    </row>
    <row r="30" spans="1:10" x14ac:dyDescent="0.45">
      <c r="A30" s="9">
        <v>8642</v>
      </c>
      <c r="C30" s="6" t="s">
        <v>23</v>
      </c>
      <c r="D30" s="9">
        <v>330</v>
      </c>
      <c r="E30" s="9">
        <v>230</v>
      </c>
      <c r="H30" s="27">
        <f t="shared" si="0"/>
        <v>0.15878494994822231</v>
      </c>
    </row>
    <row r="31" spans="1:10" x14ac:dyDescent="0.45">
      <c r="A31" s="9">
        <v>8646</v>
      </c>
      <c r="C31" s="6" t="s">
        <v>19</v>
      </c>
      <c r="D31" s="9">
        <v>350</v>
      </c>
      <c r="E31" s="9">
        <v>250</v>
      </c>
      <c r="H31" s="27">
        <f t="shared" si="0"/>
        <v>0.17259233690024164</v>
      </c>
    </row>
    <row r="32" spans="1:10" x14ac:dyDescent="0.45">
      <c r="A32" s="9">
        <v>8647</v>
      </c>
      <c r="C32" s="6" t="s">
        <v>23</v>
      </c>
      <c r="D32" s="9">
        <v>350</v>
      </c>
      <c r="E32" s="9">
        <v>275</v>
      </c>
      <c r="H32" s="27">
        <f t="shared" si="0"/>
        <v>0.18985157059026578</v>
      </c>
    </row>
    <row r="33" spans="1:8" x14ac:dyDescent="0.45">
      <c r="A33" s="9">
        <v>8648</v>
      </c>
      <c r="C33" s="6" t="s">
        <v>192</v>
      </c>
      <c r="D33" s="9">
        <v>410</v>
      </c>
      <c r="E33" s="9">
        <v>275</v>
      </c>
      <c r="H33" s="27">
        <f t="shared" si="0"/>
        <v>0.18985157059026578</v>
      </c>
    </row>
    <row r="34" spans="1:8" x14ac:dyDescent="0.45">
      <c r="A34" s="9">
        <v>8649</v>
      </c>
      <c r="C34" s="6" t="s">
        <v>23</v>
      </c>
      <c r="D34" s="9">
        <v>310</v>
      </c>
      <c r="E34" s="9">
        <v>235</v>
      </c>
      <c r="H34" s="27">
        <f t="shared" si="0"/>
        <v>0.16223679668622712</v>
      </c>
    </row>
    <row r="35" spans="1:8" x14ac:dyDescent="0.45">
      <c r="A35" s="9">
        <v>8650</v>
      </c>
      <c r="C35" s="6" t="s">
        <v>23</v>
      </c>
      <c r="D35" s="9">
        <v>330</v>
      </c>
      <c r="E35" s="9">
        <v>245</v>
      </c>
      <c r="H35" s="27">
        <f t="shared" si="0"/>
        <v>0.16914049016223681</v>
      </c>
    </row>
    <row r="36" spans="1:8" x14ac:dyDescent="0.45">
      <c r="A36" s="9">
        <v>8651</v>
      </c>
      <c r="C36" s="6" t="s">
        <v>19</v>
      </c>
      <c r="D36" s="9">
        <v>350</v>
      </c>
      <c r="E36" s="9">
        <v>260</v>
      </c>
      <c r="H36" s="27">
        <f t="shared" si="0"/>
        <v>0.17949603037625128</v>
      </c>
    </row>
    <row r="37" spans="1:8" x14ac:dyDescent="0.45">
      <c r="A37" s="9">
        <v>8652</v>
      </c>
      <c r="C37" s="6" t="s">
        <v>261</v>
      </c>
      <c r="D37" s="9">
        <v>320</v>
      </c>
      <c r="E37" s="9">
        <v>245</v>
      </c>
      <c r="G37" s="31"/>
      <c r="H37" s="27">
        <f t="shared" si="0"/>
        <v>0.16914049016223681</v>
      </c>
    </row>
    <row r="38" spans="1:8" x14ac:dyDescent="0.45">
      <c r="A38" s="9">
        <v>8653</v>
      </c>
      <c r="C38" s="6" t="s">
        <v>266</v>
      </c>
      <c r="D38" s="9">
        <v>360</v>
      </c>
      <c r="E38" s="9">
        <v>310</v>
      </c>
      <c r="G38" s="31"/>
      <c r="H38" s="27">
        <f t="shared" si="0"/>
        <v>0.2140144977562996</v>
      </c>
    </row>
    <row r="39" spans="1:8" x14ac:dyDescent="0.45">
      <c r="A39" s="9">
        <v>8654</v>
      </c>
      <c r="C39" s="6" t="s">
        <v>23</v>
      </c>
      <c r="D39" s="9">
        <v>340</v>
      </c>
      <c r="E39" s="9">
        <v>255</v>
      </c>
      <c r="G39" s="31"/>
      <c r="H39" s="27">
        <f t="shared" si="0"/>
        <v>0.17604418363824645</v>
      </c>
    </row>
    <row r="40" spans="1:8" x14ac:dyDescent="0.45">
      <c r="A40" s="31"/>
      <c r="B40" s="31"/>
      <c r="C40" s="32"/>
      <c r="D40" s="32"/>
      <c r="E40" s="31"/>
      <c r="F40" s="31"/>
      <c r="G40" s="31"/>
    </row>
    <row r="41" spans="1:8" x14ac:dyDescent="0.45">
      <c r="A41" s="31"/>
      <c r="B41" s="31"/>
      <c r="C41" s="32"/>
      <c r="D41" s="32"/>
      <c r="E41" s="31"/>
      <c r="F41" s="31"/>
      <c r="G41" s="31"/>
    </row>
    <row r="42" spans="1:8" x14ac:dyDescent="0.45">
      <c r="A42" s="31"/>
      <c r="B42" s="31"/>
      <c r="C42" s="32"/>
      <c r="D42" s="32"/>
      <c r="E42" s="31"/>
      <c r="F42" s="31"/>
      <c r="G42" s="31"/>
    </row>
    <row r="43" spans="1:8" x14ac:dyDescent="0.45">
      <c r="A43" s="31"/>
      <c r="B43" s="31"/>
      <c r="C43" s="32"/>
      <c r="D43" s="32"/>
      <c r="E43" s="31"/>
      <c r="F43" s="31"/>
      <c r="G43" s="31"/>
    </row>
  </sheetData>
  <mergeCells count="2">
    <mergeCell ref="A1:B1"/>
    <mergeCell ref="A2:B2"/>
  </mergeCells>
  <conditionalFormatting sqref="H7:H39">
    <cfRule type="cellIs" dxfId="0" priority="1" operator="lessThan">
      <formula>13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36">
    <tabColor rgb="FF92D050"/>
  </sheetPr>
  <dimension ref="A1:I43"/>
  <sheetViews>
    <sheetView workbookViewId="0">
      <pane ySplit="5" topLeftCell="A6" activePane="bottomLeft" state="frozen"/>
      <selection pane="bottomLeft" activeCell="A7" sqref="A7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3" style="9" customWidth="1"/>
    <col min="5" max="6" width="10.453125" style="9" bestFit="1" customWidth="1"/>
    <col min="7" max="7" width="10.81640625" style="9"/>
    <col min="8" max="16384" width="10.81640625" style="6"/>
  </cols>
  <sheetData>
    <row r="1" spans="1:9" s="16" customFormat="1" ht="17.5" x14ac:dyDescent="0.35">
      <c r="A1" s="129" t="s">
        <v>386</v>
      </c>
      <c r="B1" s="129"/>
      <c r="C1" s="13" t="s">
        <v>114</v>
      </c>
      <c r="D1" s="14">
        <f>COUNT(D7:D39)</f>
        <v>20</v>
      </c>
      <c r="E1" s="14">
        <f>COUNT(E7:E39)</f>
        <v>0</v>
      </c>
      <c r="F1" s="14">
        <f>COUNT(F7:F39)</f>
        <v>0</v>
      </c>
      <c r="G1" s="60"/>
    </row>
    <row r="2" spans="1:9" s="16" customFormat="1" ht="11.5" customHeight="1" x14ac:dyDescent="0.35">
      <c r="A2" s="130" t="s">
        <v>381</v>
      </c>
      <c r="B2" s="130"/>
      <c r="C2" s="13" t="s">
        <v>109</v>
      </c>
      <c r="D2" s="14">
        <f>SUM(D7:D42)</f>
        <v>2980</v>
      </c>
      <c r="E2" s="14">
        <f>SUM(E7:E42)</f>
        <v>0</v>
      </c>
      <c r="F2" s="14">
        <f>SUM(F7:F42)</f>
        <v>0</v>
      </c>
      <c r="G2" s="61"/>
    </row>
    <row r="3" spans="1:9" s="16" customFormat="1" ht="11.5" customHeight="1" x14ac:dyDescent="0.35">
      <c r="A3" s="17"/>
      <c r="B3" s="17"/>
      <c r="C3" s="13" t="s">
        <v>108</v>
      </c>
      <c r="D3" s="14">
        <f>D2/COUNT(D7:D42)</f>
        <v>149</v>
      </c>
      <c r="E3" s="14" t="e">
        <f>E2/COUNT(E7:E42)</f>
        <v>#DIV/0!</v>
      </c>
      <c r="F3" s="14" t="e">
        <f>F2/COUNT(F7:F42)</f>
        <v>#DIV/0!</v>
      </c>
      <c r="G3" s="61"/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  <c r="G4" s="61"/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  <c r="G5" s="61"/>
    </row>
    <row r="6" spans="1:9" x14ac:dyDescent="0.45">
      <c r="A6" s="36" t="s">
        <v>182</v>
      </c>
      <c r="B6" s="36" t="s">
        <v>39</v>
      </c>
      <c r="C6" s="7" t="s">
        <v>0</v>
      </c>
      <c r="D6" s="28">
        <v>43503</v>
      </c>
      <c r="E6" s="28">
        <v>36892</v>
      </c>
      <c r="F6" s="28">
        <v>36892</v>
      </c>
      <c r="G6" s="3"/>
      <c r="I6"/>
    </row>
    <row r="7" spans="1:9" x14ac:dyDescent="0.45">
      <c r="A7" s="3">
        <v>160822</v>
      </c>
      <c r="B7" s="9" t="s">
        <v>361</v>
      </c>
      <c r="C7"/>
      <c r="D7" s="9">
        <v>160</v>
      </c>
      <c r="E7" s="3"/>
      <c r="F7" s="3"/>
      <c r="G7" s="3"/>
      <c r="H7" s="48"/>
      <c r="I7"/>
    </row>
    <row r="8" spans="1:9" x14ac:dyDescent="0.45">
      <c r="A8" s="3"/>
      <c r="B8" s="9" t="s">
        <v>362</v>
      </c>
      <c r="C8"/>
      <c r="D8" s="9">
        <v>140</v>
      </c>
      <c r="E8" s="3"/>
      <c r="F8" s="3"/>
      <c r="G8" s="3"/>
      <c r="H8" s="48"/>
      <c r="I8"/>
    </row>
    <row r="9" spans="1:9" x14ac:dyDescent="0.45">
      <c r="A9" s="3"/>
      <c r="B9" s="9" t="s">
        <v>363</v>
      </c>
      <c r="C9"/>
      <c r="D9" s="9">
        <v>170</v>
      </c>
      <c r="E9" s="3"/>
      <c r="F9" s="3"/>
      <c r="G9" s="3"/>
      <c r="H9" s="48"/>
      <c r="I9"/>
    </row>
    <row r="10" spans="1:9" x14ac:dyDescent="0.45">
      <c r="A10" s="3"/>
      <c r="B10" s="9" t="s">
        <v>364</v>
      </c>
      <c r="C10"/>
      <c r="D10" s="9">
        <v>140</v>
      </c>
      <c r="E10" s="3"/>
      <c r="F10" s="3"/>
      <c r="G10" s="3"/>
      <c r="H10" s="48"/>
      <c r="I10"/>
    </row>
    <row r="11" spans="1:9" x14ac:dyDescent="0.45">
      <c r="A11" s="9">
        <v>170815</v>
      </c>
      <c r="B11" s="9" t="s">
        <v>365</v>
      </c>
      <c r="C11"/>
      <c r="D11" s="9">
        <v>170</v>
      </c>
      <c r="E11" s="3"/>
      <c r="F11" s="3"/>
      <c r="G11" s="3"/>
      <c r="H11" s="48"/>
      <c r="I11" s="48"/>
    </row>
    <row r="12" spans="1:9" x14ac:dyDescent="0.45">
      <c r="A12" s="3">
        <v>170804</v>
      </c>
      <c r="B12" s="9" t="s">
        <v>366</v>
      </c>
      <c r="C12"/>
      <c r="D12" s="9">
        <v>170</v>
      </c>
      <c r="E12" s="3"/>
      <c r="F12" s="3"/>
      <c r="G12" s="3"/>
      <c r="H12" s="48"/>
      <c r="I12" s="48"/>
    </row>
    <row r="13" spans="1:9" x14ac:dyDescent="0.45">
      <c r="A13" s="3"/>
      <c r="B13" s="3" t="s">
        <v>367</v>
      </c>
      <c r="C13"/>
      <c r="D13" s="9">
        <v>170</v>
      </c>
      <c r="E13" s="3"/>
      <c r="F13" s="3"/>
      <c r="G13" s="3"/>
      <c r="H13" s="48"/>
      <c r="I13" s="48"/>
    </row>
    <row r="14" spans="1:9" x14ac:dyDescent="0.45">
      <c r="A14" s="33"/>
      <c r="B14" s="9" t="s">
        <v>368</v>
      </c>
      <c r="C14"/>
      <c r="D14" s="9">
        <v>160</v>
      </c>
      <c r="E14" s="3"/>
      <c r="F14" s="3"/>
      <c r="G14" s="3"/>
      <c r="H14" s="48"/>
      <c r="I14" s="49"/>
    </row>
    <row r="15" spans="1:9" x14ac:dyDescent="0.45">
      <c r="A15" s="3">
        <v>170808</v>
      </c>
      <c r="B15" s="9" t="s">
        <v>369</v>
      </c>
      <c r="C15"/>
      <c r="D15" s="9">
        <v>150</v>
      </c>
      <c r="E15" s="3"/>
      <c r="F15" s="3"/>
      <c r="G15" s="3"/>
      <c r="H15" s="49"/>
      <c r="I15" s="49"/>
    </row>
    <row r="16" spans="1:9" x14ac:dyDescent="0.45">
      <c r="A16" s="3"/>
      <c r="B16" s="9" t="s">
        <v>370</v>
      </c>
      <c r="C16"/>
      <c r="D16" s="9">
        <v>170</v>
      </c>
      <c r="E16" s="3"/>
      <c r="F16" s="3"/>
      <c r="G16" s="3"/>
      <c r="H16" s="49"/>
      <c r="I16" s="49"/>
    </row>
    <row r="17" spans="1:9" x14ac:dyDescent="0.45">
      <c r="A17" s="3"/>
      <c r="B17" s="9" t="s">
        <v>371</v>
      </c>
      <c r="C17"/>
      <c r="D17" s="9">
        <v>130</v>
      </c>
      <c r="E17" s="3"/>
      <c r="F17" s="3"/>
      <c r="G17" s="3"/>
      <c r="H17" s="49"/>
      <c r="I17" s="49"/>
    </row>
    <row r="18" spans="1:9" x14ac:dyDescent="0.45">
      <c r="A18" s="3"/>
      <c r="B18" s="9" t="s">
        <v>372</v>
      </c>
      <c r="C18"/>
      <c r="D18" s="9">
        <v>160</v>
      </c>
      <c r="E18" s="3"/>
      <c r="F18" s="3"/>
      <c r="G18" s="3"/>
      <c r="H18" s="49"/>
      <c r="I18" s="49"/>
    </row>
    <row r="19" spans="1:9" x14ac:dyDescent="0.45">
      <c r="A19" s="9">
        <v>170811</v>
      </c>
      <c r="B19" s="9" t="s">
        <v>373</v>
      </c>
      <c r="C19"/>
      <c r="D19" s="9">
        <v>130</v>
      </c>
      <c r="E19" s="3"/>
      <c r="F19" s="3"/>
      <c r="G19" s="3"/>
      <c r="H19" s="49"/>
      <c r="I19" s="49"/>
    </row>
    <row r="20" spans="1:9" x14ac:dyDescent="0.45">
      <c r="A20" s="3"/>
      <c r="B20" s="9" t="s">
        <v>374</v>
      </c>
      <c r="C20"/>
      <c r="D20" s="9">
        <v>140</v>
      </c>
      <c r="E20" s="3"/>
      <c r="F20" s="3"/>
      <c r="G20" s="3"/>
      <c r="H20" s="49"/>
      <c r="I20" s="49"/>
    </row>
    <row r="21" spans="1:9" x14ac:dyDescent="0.45">
      <c r="A21" s="3"/>
      <c r="B21" s="9" t="s">
        <v>375</v>
      </c>
      <c r="C21"/>
      <c r="D21" s="9">
        <v>110</v>
      </c>
      <c r="E21" s="3"/>
      <c r="F21" s="3"/>
      <c r="G21" s="3"/>
      <c r="H21" s="49"/>
      <c r="I21" s="49"/>
    </row>
    <row r="22" spans="1:9" x14ac:dyDescent="0.45">
      <c r="A22" s="3">
        <v>170723</v>
      </c>
      <c r="B22" s="9" t="s">
        <v>376</v>
      </c>
      <c r="C22"/>
      <c r="D22" s="9">
        <v>160</v>
      </c>
      <c r="E22" s="3"/>
      <c r="F22" s="3"/>
      <c r="G22" s="3"/>
      <c r="H22" s="49"/>
      <c r="I22" s="49"/>
    </row>
    <row r="23" spans="1:9" x14ac:dyDescent="0.45">
      <c r="A23" s="3"/>
      <c r="B23" s="9" t="s">
        <v>377</v>
      </c>
      <c r="C23"/>
      <c r="D23" s="9">
        <v>150</v>
      </c>
      <c r="E23" s="3"/>
      <c r="F23" s="3"/>
      <c r="G23" s="3"/>
      <c r="H23" s="49"/>
      <c r="I23" s="49"/>
    </row>
    <row r="24" spans="1:9" x14ac:dyDescent="0.45">
      <c r="A24" s="3"/>
      <c r="B24" s="9" t="s">
        <v>378</v>
      </c>
      <c r="C24"/>
      <c r="D24" s="9">
        <v>140</v>
      </c>
      <c r="E24" s="3"/>
      <c r="F24" s="3"/>
      <c r="G24" s="3"/>
      <c r="H24" s="49"/>
      <c r="I24" s="49"/>
    </row>
    <row r="25" spans="1:9" x14ac:dyDescent="0.45">
      <c r="A25" s="3">
        <v>170903</v>
      </c>
      <c r="B25" s="9" t="s">
        <v>379</v>
      </c>
      <c r="C25"/>
      <c r="D25" s="9">
        <v>140</v>
      </c>
      <c r="E25" s="3"/>
      <c r="F25" s="3"/>
      <c r="G25" s="3"/>
      <c r="H25" s="49"/>
      <c r="I25" s="49"/>
    </row>
    <row r="26" spans="1:9" x14ac:dyDescent="0.45">
      <c r="A26" s="3"/>
      <c r="B26" s="9" t="s">
        <v>380</v>
      </c>
      <c r="C26"/>
      <c r="D26" s="9">
        <v>120</v>
      </c>
      <c r="E26" s="3"/>
      <c r="F26" s="3"/>
      <c r="G26" s="3"/>
      <c r="H26" s="48"/>
      <c r="I26" s="49"/>
    </row>
    <row r="27" spans="1:9" x14ac:dyDescent="0.45">
      <c r="A27" s="3"/>
      <c r="C27"/>
      <c r="E27" s="3"/>
      <c r="F27" s="3"/>
      <c r="G27" s="3"/>
    </row>
    <row r="28" spans="1:9" x14ac:dyDescent="0.45">
      <c r="A28" s="3"/>
      <c r="C28"/>
      <c r="E28" s="3"/>
      <c r="F28" s="3"/>
      <c r="G28" s="3"/>
    </row>
    <row r="29" spans="1:9" x14ac:dyDescent="0.45">
      <c r="A29" s="3"/>
      <c r="C29"/>
      <c r="E29" s="3"/>
      <c r="F29" s="3"/>
      <c r="G29" s="3"/>
    </row>
    <row r="30" spans="1:9" x14ac:dyDescent="0.45">
      <c r="A30" s="3"/>
      <c r="C30"/>
      <c r="E30" s="3"/>
      <c r="F30" s="3"/>
      <c r="G30" s="3"/>
    </row>
    <row r="31" spans="1:9" x14ac:dyDescent="0.45">
      <c r="A31" s="3"/>
      <c r="C31"/>
      <c r="E31" s="3"/>
      <c r="F31" s="3"/>
      <c r="G31" s="3"/>
    </row>
    <row r="32" spans="1:9" x14ac:dyDescent="0.45">
      <c r="A32" s="3"/>
      <c r="C32"/>
      <c r="E32" s="3"/>
      <c r="F32" s="3"/>
      <c r="G32" s="3"/>
    </row>
    <row r="33" spans="1:7" x14ac:dyDescent="0.45">
      <c r="A33" s="3"/>
      <c r="C33"/>
      <c r="E33" s="3"/>
      <c r="F33" s="3"/>
      <c r="G33" s="3"/>
    </row>
    <row r="34" spans="1:7" x14ac:dyDescent="0.45">
      <c r="A34" s="3"/>
      <c r="C34"/>
      <c r="E34" s="3"/>
      <c r="F34" s="3"/>
      <c r="G34" s="3"/>
    </row>
    <row r="35" spans="1:7" x14ac:dyDescent="0.45">
      <c r="A35" s="3"/>
      <c r="C35"/>
      <c r="E35" s="3"/>
      <c r="F35" s="3"/>
      <c r="G35" s="3"/>
    </row>
    <row r="36" spans="1:7" x14ac:dyDescent="0.45">
      <c r="A36" s="33"/>
      <c r="C36"/>
      <c r="E36" s="3"/>
      <c r="F36" s="3"/>
      <c r="G36" s="3"/>
    </row>
    <row r="37" spans="1:7" x14ac:dyDescent="0.45">
      <c r="A37" s="3"/>
      <c r="B37" s="3"/>
      <c r="D37" s="3"/>
      <c r="E37" s="31"/>
      <c r="F37" s="31"/>
    </row>
    <row r="38" spans="1:7" x14ac:dyDescent="0.45">
      <c r="A38" s="3"/>
      <c r="B38" s="3"/>
      <c r="D38" s="3"/>
      <c r="E38" s="31"/>
      <c r="F38" s="31"/>
    </row>
    <row r="39" spans="1:7" x14ac:dyDescent="0.45">
      <c r="A39" s="3"/>
      <c r="B39" s="3"/>
      <c r="D39" s="3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  <row r="43" spans="1:7" x14ac:dyDescent="0.45">
      <c r="A43" s="31"/>
      <c r="B43" s="31"/>
      <c r="C43" s="32"/>
      <c r="D43" s="31"/>
      <c r="E43" s="31"/>
      <c r="F43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38">
    <tabColor rgb="FF92D050"/>
  </sheetPr>
  <dimension ref="A1:I51"/>
  <sheetViews>
    <sheetView workbookViewId="0">
      <pane ySplit="5" topLeftCell="A17" activePane="bottomLeft" state="frozen"/>
      <selection pane="bottomLeft" activeCell="A20" sqref="A20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2.453125" style="9" customWidth="1"/>
    <col min="5" max="5" width="10.453125" style="9" bestFit="1" customWidth="1"/>
    <col min="6" max="6" width="9.81640625" style="9" bestFit="1" customWidth="1"/>
    <col min="7" max="16384" width="10.81640625" style="6"/>
  </cols>
  <sheetData>
    <row r="1" spans="1:9" s="16" customFormat="1" ht="17.5" x14ac:dyDescent="0.35">
      <c r="A1" s="129"/>
      <c r="B1" s="129"/>
      <c r="C1" s="13" t="s">
        <v>114</v>
      </c>
      <c r="D1" s="14">
        <f>COUNT(D7:D50)</f>
        <v>41</v>
      </c>
      <c r="E1" s="14">
        <f>COUNT(E7:E38)</f>
        <v>0</v>
      </c>
      <c r="F1" s="14">
        <f>COUNT(F7:F38)</f>
        <v>0</v>
      </c>
      <c r="G1" s="45"/>
    </row>
    <row r="2" spans="1:9" s="16" customFormat="1" ht="11.5" customHeight="1" x14ac:dyDescent="0.35">
      <c r="A2" s="130" t="s">
        <v>472</v>
      </c>
      <c r="B2" s="130"/>
      <c r="C2" s="13" t="s">
        <v>109</v>
      </c>
      <c r="D2" s="14">
        <f>SUM(D7:D50)</f>
        <v>11469</v>
      </c>
      <c r="E2" s="14">
        <f>SUM(E7:E41)</f>
        <v>0</v>
      </c>
      <c r="F2" s="14">
        <f>SUM(F7:F41)</f>
        <v>0</v>
      </c>
    </row>
    <row r="3" spans="1:9" s="16" customFormat="1" ht="11.5" customHeight="1" x14ac:dyDescent="0.35">
      <c r="A3" s="17"/>
      <c r="B3" s="17"/>
      <c r="C3" s="13" t="s">
        <v>108</v>
      </c>
      <c r="D3" s="14">
        <f>D2/COUNT(D7:D50)</f>
        <v>279.73170731707319</v>
      </c>
      <c r="E3" s="14" t="e">
        <f>E2/COUNT(E7:E41)</f>
        <v>#DIV/0!</v>
      </c>
      <c r="F3" s="14" t="e">
        <f>F2/COUNT(F7:F41)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</row>
    <row r="6" spans="1:9" x14ac:dyDescent="0.45">
      <c r="A6" s="36" t="s">
        <v>182</v>
      </c>
      <c r="B6" s="36" t="s">
        <v>39</v>
      </c>
      <c r="C6" s="7" t="s">
        <v>0</v>
      </c>
      <c r="D6" s="28">
        <v>43676</v>
      </c>
      <c r="E6" s="28"/>
      <c r="F6" s="28"/>
      <c r="G6"/>
    </row>
    <row r="7" spans="1:9" x14ac:dyDescent="0.45">
      <c r="A7" s="9">
        <v>9701</v>
      </c>
      <c r="B7"/>
      <c r="C7"/>
      <c r="D7" s="3">
        <v>266</v>
      </c>
      <c r="E7" s="33"/>
      <c r="F7"/>
      <c r="G7"/>
      <c r="H7"/>
    </row>
    <row r="8" spans="1:9" x14ac:dyDescent="0.45">
      <c r="A8" s="9">
        <v>9702</v>
      </c>
      <c r="B8"/>
      <c r="C8"/>
      <c r="D8" s="3">
        <v>338</v>
      </c>
      <c r="E8" s="33"/>
      <c r="F8"/>
      <c r="G8"/>
      <c r="H8"/>
    </row>
    <row r="9" spans="1:9" x14ac:dyDescent="0.45">
      <c r="A9" s="9">
        <v>9703</v>
      </c>
      <c r="B9"/>
      <c r="C9"/>
      <c r="D9" s="3">
        <v>280</v>
      </c>
      <c r="E9" s="33"/>
      <c r="F9"/>
      <c r="G9"/>
      <c r="H9"/>
      <c r="I9"/>
    </row>
    <row r="10" spans="1:9" x14ac:dyDescent="0.45">
      <c r="A10" s="9">
        <v>9704</v>
      </c>
      <c r="B10"/>
      <c r="C10"/>
      <c r="D10" s="3">
        <v>300</v>
      </c>
      <c r="E10" s="33"/>
      <c r="F10"/>
      <c r="G10"/>
      <c r="H10"/>
      <c r="I10"/>
    </row>
    <row r="11" spans="1:9" x14ac:dyDescent="0.45">
      <c r="A11" s="9">
        <v>9705</v>
      </c>
      <c r="B11"/>
      <c r="C11"/>
      <c r="D11" s="3">
        <v>232</v>
      </c>
      <c r="E11" s="3"/>
      <c r="F11"/>
      <c r="G11"/>
      <c r="H11"/>
      <c r="I11"/>
    </row>
    <row r="12" spans="1:9" x14ac:dyDescent="0.45">
      <c r="A12" s="9">
        <v>9706</v>
      </c>
      <c r="B12"/>
      <c r="C12"/>
      <c r="D12" s="3">
        <v>250</v>
      </c>
      <c r="E12" s="33"/>
      <c r="F12"/>
      <c r="G12"/>
      <c r="H12"/>
      <c r="I12"/>
    </row>
    <row r="13" spans="1:9" x14ac:dyDescent="0.45">
      <c r="A13" s="9">
        <v>9707</v>
      </c>
      <c r="B13"/>
      <c r="C13"/>
      <c r="D13" s="3">
        <v>300</v>
      </c>
      <c r="E13" s="33"/>
      <c r="F13"/>
      <c r="G13" s="41"/>
      <c r="H13"/>
    </row>
    <row r="14" spans="1:9" x14ac:dyDescent="0.45">
      <c r="A14" s="9">
        <v>9708</v>
      </c>
      <c r="B14"/>
      <c r="C14"/>
      <c r="D14" s="3">
        <v>282</v>
      </c>
      <c r="E14" s="3"/>
      <c r="F14"/>
      <c r="G14" s="41"/>
    </row>
    <row r="15" spans="1:9" x14ac:dyDescent="0.45">
      <c r="A15" s="9">
        <v>9709</v>
      </c>
      <c r="B15"/>
      <c r="C15"/>
      <c r="D15" s="3">
        <v>230</v>
      </c>
      <c r="E15" s="3"/>
      <c r="F15"/>
      <c r="G15" s="41"/>
    </row>
    <row r="16" spans="1:9" x14ac:dyDescent="0.45">
      <c r="A16" s="9">
        <v>9710</v>
      </c>
      <c r="B16"/>
      <c r="C16"/>
      <c r="D16" s="3">
        <v>232</v>
      </c>
      <c r="E16" s="3"/>
      <c r="F16"/>
      <c r="G16" s="41"/>
    </row>
    <row r="17" spans="1:8" x14ac:dyDescent="0.45">
      <c r="A17" s="9">
        <v>9711</v>
      </c>
      <c r="B17"/>
      <c r="C17"/>
      <c r="D17" s="3">
        <v>332</v>
      </c>
      <c r="E17" s="3"/>
      <c r="F17"/>
      <c r="G17" s="41"/>
    </row>
    <row r="18" spans="1:8" x14ac:dyDescent="0.45">
      <c r="A18" s="9">
        <v>9712</v>
      </c>
      <c r="B18"/>
      <c r="C18"/>
      <c r="D18" s="3">
        <v>340</v>
      </c>
      <c r="E18" s="3"/>
      <c r="F18"/>
      <c r="G18" s="41"/>
    </row>
    <row r="19" spans="1:8" x14ac:dyDescent="0.45">
      <c r="A19" s="9">
        <v>9713</v>
      </c>
      <c r="B19"/>
      <c r="C19"/>
      <c r="D19" s="3">
        <v>250</v>
      </c>
      <c r="E19" s="33"/>
      <c r="F19"/>
      <c r="G19" s="41"/>
    </row>
    <row r="20" spans="1:8" x14ac:dyDescent="0.45">
      <c r="A20" s="9">
        <v>9714</v>
      </c>
      <c r="B20"/>
      <c r="C20"/>
      <c r="D20" s="3">
        <v>294</v>
      </c>
      <c r="E20" s="33"/>
      <c r="F20"/>
      <c r="G20" s="41"/>
    </row>
    <row r="21" spans="1:8" x14ac:dyDescent="0.45">
      <c r="A21" s="9">
        <v>9715</v>
      </c>
      <c r="B21"/>
      <c r="C21"/>
      <c r="D21" s="3">
        <v>290</v>
      </c>
      <c r="E21" s="33"/>
      <c r="F21"/>
      <c r="G21" s="41"/>
    </row>
    <row r="22" spans="1:8" x14ac:dyDescent="0.45">
      <c r="A22" s="9">
        <v>9716</v>
      </c>
      <c r="B22"/>
      <c r="C22"/>
      <c r="D22" s="3">
        <v>278</v>
      </c>
      <c r="E22" s="3"/>
      <c r="F22"/>
      <c r="G22" s="41"/>
    </row>
    <row r="23" spans="1:8" x14ac:dyDescent="0.45">
      <c r="A23" s="9">
        <v>9717</v>
      </c>
      <c r="B23"/>
      <c r="C23"/>
      <c r="D23" s="3">
        <v>240</v>
      </c>
      <c r="E23" s="3"/>
      <c r="F23"/>
      <c r="G23" s="41"/>
    </row>
    <row r="24" spans="1:8" x14ac:dyDescent="0.45">
      <c r="A24" s="9">
        <v>9718</v>
      </c>
      <c r="B24"/>
      <c r="C24"/>
      <c r="D24" s="3">
        <v>250</v>
      </c>
      <c r="E24" s="33"/>
      <c r="F24"/>
      <c r="G24" s="41"/>
    </row>
    <row r="25" spans="1:8" x14ac:dyDescent="0.45">
      <c r="A25" s="9">
        <v>9719</v>
      </c>
      <c r="B25"/>
      <c r="C25"/>
      <c r="D25" s="3">
        <v>254</v>
      </c>
      <c r="E25" s="3"/>
      <c r="F25"/>
      <c r="G25"/>
      <c r="H25"/>
    </row>
    <row r="26" spans="1:8" x14ac:dyDescent="0.45">
      <c r="A26" s="9">
        <v>9720</v>
      </c>
      <c r="B26" s="6"/>
      <c r="C26"/>
      <c r="D26" s="9">
        <v>270</v>
      </c>
      <c r="E26" s="33"/>
      <c r="F26"/>
    </row>
    <row r="27" spans="1:8" x14ac:dyDescent="0.45">
      <c r="A27" s="9">
        <v>9721</v>
      </c>
      <c r="B27" s="3"/>
      <c r="C27"/>
      <c r="D27" s="3">
        <v>281</v>
      </c>
      <c r="E27" s="3"/>
      <c r="F27"/>
      <c r="G27" s="41"/>
    </row>
    <row r="28" spans="1:8" x14ac:dyDescent="0.45">
      <c r="A28" s="9">
        <v>9722</v>
      </c>
      <c r="B28" s="3"/>
      <c r="C28"/>
      <c r="D28" s="3">
        <v>300</v>
      </c>
      <c r="E28" s="33"/>
      <c r="F28"/>
      <c r="G28" s="41"/>
    </row>
    <row r="29" spans="1:8" x14ac:dyDescent="0.45">
      <c r="A29" s="9">
        <v>9723</v>
      </c>
      <c r="B29" s="3"/>
      <c r="C29"/>
      <c r="D29" s="3">
        <v>300</v>
      </c>
      <c r="E29" s="3"/>
      <c r="F29"/>
      <c r="G29" s="41"/>
    </row>
    <row r="30" spans="1:8" x14ac:dyDescent="0.45">
      <c r="A30" s="9">
        <v>9724</v>
      </c>
      <c r="B30" s="3"/>
      <c r="C30"/>
      <c r="D30" s="3">
        <v>265</v>
      </c>
      <c r="E30" s="33"/>
      <c r="F30"/>
      <c r="G30" s="41"/>
    </row>
    <row r="31" spans="1:8" x14ac:dyDescent="0.45">
      <c r="A31" s="9">
        <v>9725</v>
      </c>
      <c r="B31" s="3"/>
      <c r="C31"/>
      <c r="D31" s="3">
        <v>320</v>
      </c>
      <c r="E31" s="3"/>
      <c r="F31"/>
      <c r="G31" s="40"/>
    </row>
    <row r="32" spans="1:8" x14ac:dyDescent="0.45">
      <c r="A32" s="9">
        <v>9726</v>
      </c>
      <c r="B32" s="3"/>
      <c r="C32"/>
      <c r="D32" s="3">
        <v>280</v>
      </c>
      <c r="E32" s="3"/>
      <c r="F32"/>
      <c r="G32" s="40"/>
    </row>
    <row r="33" spans="1:7" x14ac:dyDescent="0.45">
      <c r="A33" s="9">
        <v>9727</v>
      </c>
      <c r="B33" s="3"/>
      <c r="C33"/>
      <c r="D33" s="3">
        <v>296</v>
      </c>
      <c r="E33" s="3"/>
      <c r="F33"/>
      <c r="G33" s="40"/>
    </row>
    <row r="34" spans="1:7" x14ac:dyDescent="0.45">
      <c r="A34" s="9">
        <v>9728</v>
      </c>
      <c r="B34" s="3"/>
      <c r="C34"/>
      <c r="D34" s="3">
        <v>286</v>
      </c>
      <c r="E34" s="33"/>
      <c r="F34"/>
      <c r="G34" s="40"/>
    </row>
    <row r="35" spans="1:7" x14ac:dyDescent="0.45">
      <c r="A35" s="9">
        <v>9729</v>
      </c>
      <c r="B35" s="3"/>
      <c r="D35" s="3">
        <v>266</v>
      </c>
      <c r="E35" s="40"/>
      <c r="F35"/>
      <c r="G35" s="40"/>
    </row>
    <row r="36" spans="1:7" x14ac:dyDescent="0.45">
      <c r="A36" s="9">
        <v>9730</v>
      </c>
      <c r="B36" s="3"/>
      <c r="D36" s="3">
        <v>266</v>
      </c>
      <c r="E36" s="31"/>
      <c r="F36" s="31"/>
    </row>
    <row r="37" spans="1:7" x14ac:dyDescent="0.45">
      <c r="A37" s="9">
        <v>9731</v>
      </c>
      <c r="B37" s="3"/>
      <c r="D37" s="3">
        <v>256</v>
      </c>
      <c r="E37" s="31"/>
      <c r="F37" s="31"/>
    </row>
    <row r="38" spans="1:7" x14ac:dyDescent="0.45">
      <c r="A38" s="9">
        <v>9732</v>
      </c>
      <c r="B38" s="3"/>
      <c r="D38" s="3">
        <v>295</v>
      </c>
      <c r="E38" s="31"/>
      <c r="F38" s="31"/>
    </row>
    <row r="39" spans="1:7" x14ac:dyDescent="0.45">
      <c r="A39" s="9">
        <v>9733</v>
      </c>
      <c r="B39" s="31"/>
      <c r="C39" s="32"/>
      <c r="D39" s="31">
        <v>275</v>
      </c>
      <c r="E39" s="31"/>
      <c r="F39" s="31"/>
    </row>
    <row r="40" spans="1:7" x14ac:dyDescent="0.45">
      <c r="A40" s="9">
        <v>9734</v>
      </c>
      <c r="B40" s="31"/>
      <c r="C40" s="32"/>
      <c r="D40" s="31">
        <v>265</v>
      </c>
      <c r="E40" s="31"/>
      <c r="F40" s="31"/>
    </row>
    <row r="41" spans="1:7" x14ac:dyDescent="0.45">
      <c r="A41" s="9">
        <v>9735</v>
      </c>
      <c r="B41" s="31"/>
      <c r="C41" s="32"/>
      <c r="D41" s="31">
        <v>275</v>
      </c>
      <c r="E41" s="31"/>
      <c r="F41" s="31"/>
    </row>
    <row r="42" spans="1:7" x14ac:dyDescent="0.45">
      <c r="A42" s="9">
        <v>9736</v>
      </c>
      <c r="B42" s="31"/>
      <c r="C42" s="32"/>
      <c r="D42" s="31">
        <v>285</v>
      </c>
      <c r="E42" s="31"/>
      <c r="F42" s="31"/>
    </row>
    <row r="43" spans="1:7" x14ac:dyDescent="0.45">
      <c r="A43" s="9">
        <v>9737</v>
      </c>
      <c r="D43" s="9">
        <v>235</v>
      </c>
    </row>
    <row r="44" spans="1:7" x14ac:dyDescent="0.45">
      <c r="A44" s="9">
        <v>9738</v>
      </c>
      <c r="D44" s="9">
        <v>245</v>
      </c>
    </row>
    <row r="45" spans="1:7" x14ac:dyDescent="0.45">
      <c r="A45" s="9">
        <v>9739</v>
      </c>
      <c r="D45" s="9">
        <v>310</v>
      </c>
    </row>
    <row r="46" spans="1:7" x14ac:dyDescent="0.45">
      <c r="A46" s="9">
        <v>9740</v>
      </c>
      <c r="D46" s="9">
        <v>370</v>
      </c>
    </row>
    <row r="47" spans="1:7" x14ac:dyDescent="0.45">
      <c r="A47" s="9">
        <v>9741</v>
      </c>
      <c r="D47" s="9">
        <v>290</v>
      </c>
    </row>
    <row r="48" spans="1:7" x14ac:dyDescent="0.45">
      <c r="A48" s="9">
        <v>9742</v>
      </c>
    </row>
    <row r="49" spans="1:1" x14ac:dyDescent="0.45">
      <c r="A49" s="9">
        <v>9743</v>
      </c>
    </row>
    <row r="50" spans="1:1" x14ac:dyDescent="0.45">
      <c r="A50" s="9">
        <v>9744</v>
      </c>
    </row>
    <row r="51" spans="1:1" x14ac:dyDescent="0.45">
      <c r="A51" s="9">
        <v>9745</v>
      </c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1">
    <tabColor rgb="FF92D050"/>
  </sheetPr>
  <dimension ref="A1:I42"/>
  <sheetViews>
    <sheetView workbookViewId="0">
      <pane ySplit="5" topLeftCell="A6" activePane="bottomLeft" state="frozen"/>
      <selection pane="bottomLeft" activeCell="G12" sqref="G12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2.453125" style="9" customWidth="1"/>
    <col min="5" max="5" width="10.453125" style="9" bestFit="1" customWidth="1"/>
    <col min="6" max="6" width="9.81640625" style="9" bestFit="1" customWidth="1"/>
    <col min="7" max="16384" width="10.81640625" style="6"/>
  </cols>
  <sheetData>
    <row r="1" spans="1:9" s="16" customFormat="1" ht="17.5" x14ac:dyDescent="0.35">
      <c r="A1" s="129" t="s">
        <v>392</v>
      </c>
      <c r="B1" s="129"/>
      <c r="C1" s="13" t="s">
        <v>114</v>
      </c>
      <c r="D1" s="14">
        <f>COUNT(D7:D38)</f>
        <v>20</v>
      </c>
      <c r="E1" s="14">
        <f>COUNT(E7:E38)</f>
        <v>0</v>
      </c>
      <c r="F1" s="14">
        <f>COUNT(F7:F38)</f>
        <v>0</v>
      </c>
      <c r="G1" s="45"/>
    </row>
    <row r="2" spans="1:9" s="16" customFormat="1" ht="11.5" customHeight="1" x14ac:dyDescent="0.35">
      <c r="A2" s="130" t="s">
        <v>230</v>
      </c>
      <c r="B2" s="130"/>
      <c r="C2" s="13" t="s">
        <v>109</v>
      </c>
      <c r="D2" s="14">
        <f>SUM(D7:D41)</f>
        <v>6110</v>
      </c>
      <c r="E2" s="14">
        <f>SUM(E7:E41)</f>
        <v>0</v>
      </c>
      <c r="F2" s="14">
        <f>SUM(F7:F41)</f>
        <v>0</v>
      </c>
    </row>
    <row r="3" spans="1:9" s="16" customFormat="1" ht="11.5" customHeight="1" x14ac:dyDescent="0.35">
      <c r="A3" s="17"/>
      <c r="B3" s="17"/>
      <c r="C3" s="13" t="s">
        <v>108</v>
      </c>
      <c r="D3" s="14">
        <f>D2/COUNT(D7:D41)</f>
        <v>305.5</v>
      </c>
      <c r="E3" s="14" t="e">
        <f>E2/COUNT(E7:E41)</f>
        <v>#DIV/0!</v>
      </c>
      <c r="F3" s="14" t="e">
        <f>F2/COUNT(F7:F41)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</row>
    <row r="6" spans="1:9" x14ac:dyDescent="0.45">
      <c r="A6" s="36" t="s">
        <v>182</v>
      </c>
      <c r="B6" s="36" t="s">
        <v>39</v>
      </c>
      <c r="C6" s="7" t="s">
        <v>0</v>
      </c>
      <c r="D6" s="28">
        <v>43707</v>
      </c>
      <c r="E6" s="28"/>
      <c r="F6" s="28"/>
      <c r="G6"/>
    </row>
    <row r="7" spans="1:9" x14ac:dyDescent="0.45">
      <c r="A7">
        <v>9845</v>
      </c>
      <c r="B7"/>
      <c r="C7"/>
      <c r="D7" s="3">
        <v>287</v>
      </c>
      <c r="E7" s="33"/>
      <c r="F7"/>
      <c r="G7"/>
      <c r="H7"/>
    </row>
    <row r="8" spans="1:9" x14ac:dyDescent="0.45">
      <c r="A8">
        <v>9846</v>
      </c>
      <c r="B8"/>
      <c r="C8"/>
      <c r="D8" s="3">
        <v>253</v>
      </c>
      <c r="E8" s="33"/>
      <c r="F8"/>
      <c r="G8"/>
      <c r="H8"/>
    </row>
    <row r="9" spans="1:9" x14ac:dyDescent="0.45">
      <c r="A9">
        <v>9847</v>
      </c>
      <c r="B9"/>
      <c r="C9"/>
      <c r="D9" s="3">
        <v>275</v>
      </c>
      <c r="E9" s="33"/>
      <c r="F9"/>
      <c r="G9"/>
      <c r="H9"/>
      <c r="I9"/>
    </row>
    <row r="10" spans="1:9" x14ac:dyDescent="0.45">
      <c r="A10">
        <v>9848</v>
      </c>
      <c r="B10"/>
      <c r="C10"/>
      <c r="D10" s="3">
        <v>284</v>
      </c>
      <c r="E10" s="33"/>
      <c r="F10"/>
      <c r="G10"/>
      <c r="H10"/>
      <c r="I10"/>
    </row>
    <row r="11" spans="1:9" x14ac:dyDescent="0.45">
      <c r="A11">
        <v>9849</v>
      </c>
      <c r="B11"/>
      <c r="C11"/>
      <c r="D11" s="3">
        <v>285</v>
      </c>
      <c r="E11" s="3"/>
      <c r="F11"/>
      <c r="G11"/>
      <c r="H11"/>
      <c r="I11"/>
    </row>
    <row r="12" spans="1:9" x14ac:dyDescent="0.45">
      <c r="A12">
        <v>9850</v>
      </c>
      <c r="B12"/>
      <c r="C12"/>
      <c r="D12" s="3">
        <v>312</v>
      </c>
      <c r="E12" s="33"/>
      <c r="F12"/>
      <c r="G12"/>
      <c r="H12"/>
      <c r="I12"/>
    </row>
    <row r="13" spans="1:9" x14ac:dyDescent="0.45">
      <c r="A13">
        <v>9851</v>
      </c>
      <c r="B13"/>
      <c r="C13"/>
      <c r="D13" s="3">
        <v>316</v>
      </c>
      <c r="E13" s="33"/>
      <c r="F13"/>
      <c r="G13" s="41"/>
      <c r="H13"/>
    </row>
    <row r="14" spans="1:9" x14ac:dyDescent="0.45">
      <c r="A14">
        <v>9852</v>
      </c>
      <c r="B14"/>
      <c r="C14"/>
      <c r="D14" s="3">
        <v>302</v>
      </c>
      <c r="E14" s="3"/>
      <c r="F14"/>
      <c r="G14" s="41"/>
    </row>
    <row r="15" spans="1:9" x14ac:dyDescent="0.45">
      <c r="A15">
        <v>9853</v>
      </c>
      <c r="B15"/>
      <c r="C15"/>
      <c r="D15" s="3">
        <v>301</v>
      </c>
      <c r="E15" s="3"/>
      <c r="F15"/>
      <c r="G15" s="41"/>
    </row>
    <row r="16" spans="1:9" x14ac:dyDescent="0.45">
      <c r="A16">
        <v>9854</v>
      </c>
      <c r="B16"/>
      <c r="C16"/>
      <c r="D16" s="3">
        <v>315</v>
      </c>
      <c r="E16" s="3"/>
      <c r="F16"/>
      <c r="G16" s="41"/>
    </row>
    <row r="17" spans="1:8" x14ac:dyDescent="0.45">
      <c r="A17">
        <v>9855</v>
      </c>
      <c r="B17"/>
      <c r="C17"/>
      <c r="D17" s="3">
        <v>295</v>
      </c>
      <c r="E17" s="3"/>
      <c r="F17"/>
      <c r="G17" s="41"/>
    </row>
    <row r="18" spans="1:8" x14ac:dyDescent="0.45">
      <c r="A18">
        <v>9856</v>
      </c>
      <c r="B18"/>
      <c r="C18"/>
      <c r="D18" s="3">
        <v>273</v>
      </c>
      <c r="E18" s="3"/>
      <c r="F18"/>
      <c r="G18" s="41"/>
    </row>
    <row r="19" spans="1:8" x14ac:dyDescent="0.45">
      <c r="A19">
        <v>9857</v>
      </c>
      <c r="B19"/>
      <c r="C19"/>
      <c r="D19" s="3">
        <v>317</v>
      </c>
      <c r="E19" s="33"/>
      <c r="F19"/>
      <c r="G19" s="41"/>
    </row>
    <row r="20" spans="1:8" x14ac:dyDescent="0.45">
      <c r="A20">
        <v>9858</v>
      </c>
      <c r="B20"/>
      <c r="C20"/>
      <c r="D20" s="3">
        <v>370</v>
      </c>
      <c r="E20" s="33"/>
      <c r="F20"/>
      <c r="G20" s="41"/>
    </row>
    <row r="21" spans="1:8" x14ac:dyDescent="0.45">
      <c r="A21">
        <v>9859</v>
      </c>
      <c r="B21"/>
      <c r="C21"/>
      <c r="D21" s="3">
        <v>315</v>
      </c>
      <c r="E21" s="33"/>
      <c r="F21"/>
      <c r="G21" s="41"/>
    </row>
    <row r="22" spans="1:8" x14ac:dyDescent="0.45">
      <c r="A22">
        <v>9860</v>
      </c>
      <c r="B22"/>
      <c r="C22"/>
      <c r="D22" s="3">
        <v>316</v>
      </c>
      <c r="E22" s="3"/>
      <c r="F22"/>
      <c r="G22" s="41"/>
    </row>
    <row r="23" spans="1:8" x14ac:dyDescent="0.45">
      <c r="A23">
        <v>9861</v>
      </c>
      <c r="B23"/>
      <c r="C23"/>
      <c r="D23" s="3">
        <v>302</v>
      </c>
      <c r="E23" s="3"/>
      <c r="F23"/>
      <c r="G23" s="41"/>
    </row>
    <row r="24" spans="1:8" x14ac:dyDescent="0.45">
      <c r="A24">
        <v>9862</v>
      </c>
      <c r="B24"/>
      <c r="C24"/>
      <c r="D24" s="3">
        <v>304</v>
      </c>
      <c r="E24" s="33"/>
      <c r="F24"/>
      <c r="G24" s="41"/>
    </row>
    <row r="25" spans="1:8" x14ac:dyDescent="0.45">
      <c r="A25">
        <v>9863</v>
      </c>
      <c r="B25"/>
      <c r="C25"/>
      <c r="D25" s="3">
        <v>387</v>
      </c>
      <c r="E25" s="3"/>
      <c r="F25"/>
      <c r="G25"/>
      <c r="H25"/>
    </row>
    <row r="26" spans="1:8" x14ac:dyDescent="0.45">
      <c r="A26">
        <v>9864</v>
      </c>
      <c r="B26" s="6"/>
      <c r="C26"/>
      <c r="D26" s="9">
        <v>301</v>
      </c>
      <c r="E26" s="33"/>
      <c r="F26"/>
    </row>
    <row r="27" spans="1:8" x14ac:dyDescent="0.45">
      <c r="A27"/>
      <c r="B27" s="3"/>
      <c r="C27"/>
      <c r="D27" s="3"/>
      <c r="E27" s="3"/>
      <c r="F27"/>
      <c r="G27" s="41"/>
    </row>
    <row r="28" spans="1:8" x14ac:dyDescent="0.45">
      <c r="A28"/>
      <c r="B28" s="3"/>
      <c r="C28"/>
      <c r="D28" s="3"/>
      <c r="E28" s="33"/>
      <c r="F28"/>
      <c r="G28" s="41"/>
    </row>
    <row r="29" spans="1:8" x14ac:dyDescent="0.45">
      <c r="A29"/>
      <c r="B29" s="3"/>
      <c r="C29"/>
      <c r="D29" s="3"/>
      <c r="E29" s="3"/>
      <c r="F29"/>
      <c r="G29" s="41"/>
    </row>
    <row r="30" spans="1:8" x14ac:dyDescent="0.45">
      <c r="A30"/>
      <c r="B30" s="3"/>
      <c r="C30"/>
      <c r="D30" s="3"/>
      <c r="E30" s="33"/>
      <c r="F30"/>
      <c r="G30" s="41"/>
    </row>
    <row r="31" spans="1:8" x14ac:dyDescent="0.45">
      <c r="A31"/>
      <c r="B31" s="3"/>
      <c r="C31"/>
      <c r="D31" s="3"/>
      <c r="E31" s="3"/>
      <c r="F31"/>
      <c r="G31" s="40"/>
    </row>
    <row r="32" spans="1:8" x14ac:dyDescent="0.45">
      <c r="A32"/>
      <c r="B32" s="3"/>
      <c r="C32"/>
      <c r="D32" s="3"/>
      <c r="E32" s="3"/>
      <c r="F32"/>
      <c r="G32" s="40"/>
    </row>
    <row r="33" spans="1:7" x14ac:dyDescent="0.45">
      <c r="A33"/>
      <c r="B33" s="3"/>
      <c r="C33"/>
      <c r="D33" s="3"/>
      <c r="E33" s="3"/>
      <c r="F33"/>
      <c r="G33" s="40"/>
    </row>
    <row r="34" spans="1:7" x14ac:dyDescent="0.45">
      <c r="A34"/>
      <c r="B34" s="3"/>
      <c r="C34"/>
      <c r="D34" s="3"/>
      <c r="E34" s="33"/>
      <c r="F34"/>
      <c r="G34" s="40"/>
    </row>
    <row r="35" spans="1:7" x14ac:dyDescent="0.45">
      <c r="A35" s="3"/>
      <c r="B35" s="3"/>
      <c r="D35" s="3"/>
      <c r="E35" s="40"/>
      <c r="F35"/>
      <c r="G35" s="40"/>
    </row>
    <row r="36" spans="1:7" x14ac:dyDescent="0.45">
      <c r="A36" s="3"/>
      <c r="B36" s="3"/>
      <c r="D36" s="3"/>
      <c r="E36" s="31"/>
      <c r="F36" s="31"/>
    </row>
    <row r="37" spans="1:7" x14ac:dyDescent="0.45">
      <c r="A37" s="3"/>
      <c r="B37" s="3"/>
      <c r="D37" s="3"/>
      <c r="E37" s="31"/>
      <c r="F37" s="31"/>
    </row>
    <row r="38" spans="1:7" x14ac:dyDescent="0.45">
      <c r="A38" s="3"/>
      <c r="B38" s="3"/>
      <c r="D38" s="3"/>
      <c r="E38" s="31"/>
      <c r="F38" s="31"/>
    </row>
    <row r="39" spans="1:7" x14ac:dyDescent="0.45">
      <c r="A39" s="31"/>
      <c r="B39" s="31"/>
      <c r="C39" s="32"/>
      <c r="D39" s="31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9">
    <tabColor rgb="FF92D050"/>
  </sheetPr>
  <dimension ref="A1:I42"/>
  <sheetViews>
    <sheetView workbookViewId="0">
      <pane ySplit="5" topLeftCell="A6" activePane="bottomLeft" state="frozen"/>
      <selection pane="bottomLeft" activeCell="G19" sqref="G19"/>
    </sheetView>
  </sheetViews>
  <sheetFormatPr defaultColWidth="10.81640625" defaultRowHeight="16.5" x14ac:dyDescent="0.45"/>
  <cols>
    <col min="1" max="1" width="11.453125" style="9" bestFit="1" customWidth="1"/>
    <col min="2" max="2" width="11" style="9" customWidth="1"/>
    <col min="3" max="3" width="15.26953125" style="6" bestFit="1" customWidth="1"/>
    <col min="4" max="4" width="12.453125" style="9" customWidth="1"/>
    <col min="5" max="5" width="10.453125" style="9" bestFit="1" customWidth="1"/>
    <col min="6" max="6" width="9.81640625" style="9" bestFit="1" customWidth="1"/>
    <col min="7" max="16384" width="10.81640625" style="6"/>
  </cols>
  <sheetData>
    <row r="1" spans="1:9" s="16" customFormat="1" ht="17.5" x14ac:dyDescent="0.35">
      <c r="A1" s="129" t="s">
        <v>508</v>
      </c>
      <c r="B1" s="129"/>
      <c r="C1" s="13" t="s">
        <v>114</v>
      </c>
      <c r="D1" s="14">
        <f>COUNT(D7:D38)</f>
        <v>21</v>
      </c>
      <c r="E1" s="14">
        <f>COUNT(E7:E38)</f>
        <v>0</v>
      </c>
      <c r="F1" s="14">
        <f>COUNT(F7:F38)</f>
        <v>0</v>
      </c>
      <c r="G1" s="45"/>
    </row>
    <row r="2" spans="1:9" s="16" customFormat="1" ht="11.5" customHeight="1" x14ac:dyDescent="0.35">
      <c r="A2" s="130" t="s">
        <v>509</v>
      </c>
      <c r="B2" s="130"/>
      <c r="C2" s="13" t="s">
        <v>109</v>
      </c>
      <c r="D2" s="14">
        <f>SUM(D7:D41)</f>
        <v>5983</v>
      </c>
      <c r="E2" s="14">
        <f>SUM(E7:E41)</f>
        <v>0</v>
      </c>
      <c r="F2" s="14">
        <f>SUM(F7:F41)</f>
        <v>0</v>
      </c>
    </row>
    <row r="3" spans="1:9" s="16" customFormat="1" ht="11.5" customHeight="1" x14ac:dyDescent="0.35">
      <c r="A3" s="17"/>
      <c r="B3" s="17"/>
      <c r="C3" s="13" t="s">
        <v>108</v>
      </c>
      <c r="D3" s="14">
        <f>D2/COUNT(D7:D41)</f>
        <v>284.90476190476193</v>
      </c>
      <c r="E3" s="14" t="e">
        <f>E2/COUNT(E7:E41)</f>
        <v>#DIV/0!</v>
      </c>
      <c r="F3" s="14" t="e">
        <f>F2/COUNT(F7:F41)</f>
        <v>#DIV/0!</v>
      </c>
    </row>
    <row r="4" spans="1:9" s="16" customFormat="1" ht="11.5" customHeight="1" x14ac:dyDescent="0.35">
      <c r="A4" s="17"/>
      <c r="B4" s="17"/>
      <c r="C4" s="13" t="s">
        <v>110</v>
      </c>
      <c r="D4" s="14"/>
      <c r="E4" s="18" t="e">
        <f>+((E2-10617)/(E6-D6))/E1</f>
        <v>#DIV/0!</v>
      </c>
      <c r="F4" s="18" t="e">
        <f>((F2-D2)/(F6-D6))/F1</f>
        <v>#DIV/0!</v>
      </c>
    </row>
    <row r="5" spans="1:9" s="16" customFormat="1" ht="11.5" customHeight="1" x14ac:dyDescent="0.35">
      <c r="A5" s="20"/>
      <c r="B5" s="20"/>
      <c r="C5" s="21" t="s">
        <v>112</v>
      </c>
      <c r="D5" s="22"/>
      <c r="E5" s="23" t="e">
        <f>+E4*30</f>
        <v>#DIV/0!</v>
      </c>
      <c r="F5" s="30" t="e">
        <f>F4*30</f>
        <v>#DIV/0!</v>
      </c>
    </row>
    <row r="6" spans="1:9" x14ac:dyDescent="0.45">
      <c r="A6" s="36" t="s">
        <v>182</v>
      </c>
      <c r="B6" s="36" t="s">
        <v>39</v>
      </c>
      <c r="C6" s="7" t="s">
        <v>0</v>
      </c>
      <c r="D6" s="28">
        <v>43732</v>
      </c>
      <c r="E6" s="28"/>
      <c r="F6" s="28"/>
      <c r="G6"/>
    </row>
    <row r="7" spans="1:9" x14ac:dyDescent="0.45">
      <c r="A7">
        <v>9901</v>
      </c>
      <c r="B7"/>
      <c r="C7" s="114" t="s">
        <v>9</v>
      </c>
      <c r="D7" s="3">
        <v>254</v>
      </c>
      <c r="E7" s="33"/>
      <c r="F7"/>
      <c r="G7"/>
      <c r="H7"/>
    </row>
    <row r="8" spans="1:9" x14ac:dyDescent="0.45">
      <c r="A8">
        <v>9902</v>
      </c>
      <c r="B8"/>
      <c r="C8" s="114" t="s">
        <v>24</v>
      </c>
      <c r="D8" s="3">
        <v>300</v>
      </c>
      <c r="E8" s="33"/>
      <c r="F8"/>
      <c r="G8"/>
      <c r="H8"/>
    </row>
    <row r="9" spans="1:9" x14ac:dyDescent="0.45">
      <c r="A9">
        <v>9903</v>
      </c>
      <c r="B9"/>
      <c r="C9" s="115" t="s">
        <v>27</v>
      </c>
      <c r="D9" s="3">
        <v>300</v>
      </c>
      <c r="E9" s="33"/>
      <c r="F9"/>
      <c r="G9"/>
      <c r="H9"/>
      <c r="I9"/>
    </row>
    <row r="10" spans="1:9" x14ac:dyDescent="0.45">
      <c r="A10">
        <v>9904</v>
      </c>
      <c r="B10"/>
      <c r="C10" s="115" t="s">
        <v>9</v>
      </c>
      <c r="D10" s="3">
        <v>304</v>
      </c>
      <c r="E10" s="33"/>
      <c r="F10"/>
      <c r="G10"/>
      <c r="H10"/>
      <c r="I10"/>
    </row>
    <row r="11" spans="1:9" x14ac:dyDescent="0.45">
      <c r="A11">
        <v>9905</v>
      </c>
      <c r="B11"/>
      <c r="C11" s="115" t="s">
        <v>18</v>
      </c>
      <c r="D11" s="3">
        <v>250</v>
      </c>
      <c r="E11" s="3"/>
      <c r="F11"/>
      <c r="G11"/>
      <c r="H11"/>
      <c r="I11"/>
    </row>
    <row r="12" spans="1:9" x14ac:dyDescent="0.45">
      <c r="A12">
        <v>9906</v>
      </c>
      <c r="B12"/>
      <c r="C12" s="115" t="s">
        <v>36</v>
      </c>
      <c r="D12" s="3">
        <v>230</v>
      </c>
      <c r="E12" s="33"/>
      <c r="F12"/>
      <c r="G12"/>
      <c r="H12"/>
      <c r="I12"/>
    </row>
    <row r="13" spans="1:9" x14ac:dyDescent="0.45">
      <c r="A13">
        <v>9907</v>
      </c>
      <c r="B13"/>
      <c r="C13" s="115" t="s">
        <v>26</v>
      </c>
      <c r="D13" s="3">
        <v>265</v>
      </c>
      <c r="E13" s="33"/>
      <c r="F13"/>
      <c r="G13" s="41"/>
      <c r="H13"/>
    </row>
    <row r="14" spans="1:9" x14ac:dyDescent="0.45">
      <c r="A14">
        <v>9908</v>
      </c>
      <c r="B14"/>
      <c r="C14" s="115" t="s">
        <v>504</v>
      </c>
      <c r="D14" s="3">
        <v>304</v>
      </c>
      <c r="E14" s="3"/>
      <c r="F14"/>
      <c r="G14" s="41"/>
    </row>
    <row r="15" spans="1:9" x14ac:dyDescent="0.45">
      <c r="A15">
        <v>9909</v>
      </c>
      <c r="B15"/>
      <c r="C15" s="115" t="s">
        <v>103</v>
      </c>
      <c r="D15" s="3">
        <v>320</v>
      </c>
      <c r="E15" s="3"/>
      <c r="F15"/>
      <c r="G15" s="41"/>
    </row>
    <row r="16" spans="1:9" x14ac:dyDescent="0.45">
      <c r="A16">
        <v>9910</v>
      </c>
      <c r="B16"/>
      <c r="C16" s="115" t="s">
        <v>16</v>
      </c>
      <c r="D16" s="3">
        <v>280</v>
      </c>
      <c r="E16" s="3"/>
      <c r="F16"/>
      <c r="G16" s="41"/>
    </row>
    <row r="17" spans="1:8" x14ac:dyDescent="0.45">
      <c r="A17">
        <v>9911</v>
      </c>
      <c r="B17"/>
      <c r="C17" s="115" t="s">
        <v>505</v>
      </c>
      <c r="D17" s="3">
        <v>260</v>
      </c>
      <c r="E17" s="3"/>
      <c r="F17"/>
      <c r="G17" s="41"/>
    </row>
    <row r="18" spans="1:8" x14ac:dyDescent="0.45">
      <c r="A18">
        <v>9912</v>
      </c>
      <c r="B18"/>
      <c r="C18" s="115" t="s">
        <v>505</v>
      </c>
      <c r="D18" s="3">
        <v>310</v>
      </c>
      <c r="E18" s="3"/>
      <c r="F18"/>
      <c r="G18" s="41"/>
    </row>
    <row r="19" spans="1:8" x14ac:dyDescent="0.45">
      <c r="A19">
        <v>9913</v>
      </c>
      <c r="B19"/>
      <c r="C19" s="115" t="s">
        <v>37</v>
      </c>
      <c r="D19" s="3">
        <v>308</v>
      </c>
      <c r="E19" s="33"/>
      <c r="F19"/>
      <c r="G19" s="41"/>
    </row>
    <row r="20" spans="1:8" x14ac:dyDescent="0.45">
      <c r="A20">
        <v>9914</v>
      </c>
      <c r="B20"/>
      <c r="C20" s="115" t="s">
        <v>126</v>
      </c>
      <c r="D20" s="3">
        <v>294</v>
      </c>
      <c r="E20" s="33"/>
      <c r="F20"/>
      <c r="G20" s="41"/>
    </row>
    <row r="21" spans="1:8" x14ac:dyDescent="0.45">
      <c r="A21">
        <v>9915</v>
      </c>
      <c r="B21"/>
      <c r="C21" s="115" t="s">
        <v>506</v>
      </c>
      <c r="D21" s="3">
        <v>290</v>
      </c>
      <c r="E21" s="33"/>
      <c r="F21"/>
      <c r="G21" s="41"/>
    </row>
    <row r="22" spans="1:8" x14ac:dyDescent="0.45">
      <c r="A22">
        <v>9916</v>
      </c>
      <c r="B22"/>
      <c r="C22" s="115" t="s">
        <v>16</v>
      </c>
      <c r="D22" s="3">
        <v>286</v>
      </c>
      <c r="E22" s="3"/>
      <c r="F22"/>
      <c r="G22" s="41"/>
    </row>
    <row r="23" spans="1:8" x14ac:dyDescent="0.45">
      <c r="A23">
        <v>9917</v>
      </c>
      <c r="B23"/>
      <c r="C23" s="115" t="s">
        <v>23</v>
      </c>
      <c r="D23" s="3">
        <v>300</v>
      </c>
      <c r="E23" s="3"/>
      <c r="F23"/>
      <c r="G23" s="41"/>
    </row>
    <row r="24" spans="1:8" x14ac:dyDescent="0.45">
      <c r="A24">
        <v>9918</v>
      </c>
      <c r="B24"/>
      <c r="C24" s="115" t="s">
        <v>16</v>
      </c>
      <c r="D24" s="3">
        <v>250</v>
      </c>
      <c r="E24" s="33"/>
      <c r="F24"/>
      <c r="G24" s="41"/>
    </row>
    <row r="25" spans="1:8" x14ac:dyDescent="0.45">
      <c r="A25">
        <v>9919</v>
      </c>
      <c r="B25"/>
      <c r="C25" s="115" t="s">
        <v>312</v>
      </c>
      <c r="D25" s="3">
        <v>276</v>
      </c>
      <c r="E25" s="3"/>
      <c r="F25"/>
      <c r="G25"/>
      <c r="H25"/>
    </row>
    <row r="26" spans="1:8" x14ac:dyDescent="0.45">
      <c r="A26">
        <v>9920</v>
      </c>
      <c r="B26" s="6"/>
      <c r="C26" s="115" t="s">
        <v>18</v>
      </c>
      <c r="D26" s="9">
        <v>300</v>
      </c>
      <c r="E26" s="33"/>
      <c r="F26"/>
    </row>
    <row r="27" spans="1:8" x14ac:dyDescent="0.45">
      <c r="A27">
        <v>9921</v>
      </c>
      <c r="B27" s="3"/>
      <c r="C27" s="115" t="s">
        <v>507</v>
      </c>
      <c r="D27" s="3">
        <v>302</v>
      </c>
      <c r="E27" s="3"/>
      <c r="F27"/>
      <c r="G27" s="41"/>
    </row>
    <row r="28" spans="1:8" x14ac:dyDescent="0.45">
      <c r="A28"/>
      <c r="B28" s="3"/>
      <c r="C28"/>
      <c r="D28" s="3"/>
      <c r="E28" s="33"/>
      <c r="F28"/>
      <c r="G28" s="41"/>
    </row>
    <row r="29" spans="1:8" x14ac:dyDescent="0.45">
      <c r="A29"/>
      <c r="B29" s="3"/>
      <c r="C29"/>
      <c r="D29" s="3"/>
      <c r="E29" s="3"/>
      <c r="F29"/>
      <c r="G29" s="41"/>
    </row>
    <row r="30" spans="1:8" x14ac:dyDescent="0.45">
      <c r="A30"/>
      <c r="B30" s="3"/>
      <c r="C30"/>
      <c r="D30" s="3"/>
      <c r="E30" s="33"/>
      <c r="F30"/>
      <c r="G30" s="41"/>
    </row>
    <row r="31" spans="1:8" x14ac:dyDescent="0.45">
      <c r="A31"/>
      <c r="B31" s="3"/>
      <c r="C31"/>
      <c r="D31" s="3"/>
      <c r="E31" s="3"/>
      <c r="F31"/>
      <c r="G31" s="40"/>
    </row>
    <row r="32" spans="1:8" x14ac:dyDescent="0.45">
      <c r="A32"/>
      <c r="B32" s="3"/>
      <c r="C32"/>
      <c r="D32" s="3"/>
      <c r="E32" s="3"/>
      <c r="F32"/>
      <c r="G32" s="40"/>
    </row>
    <row r="33" spans="1:7" x14ac:dyDescent="0.45">
      <c r="A33"/>
      <c r="B33" s="3"/>
      <c r="C33"/>
      <c r="D33" s="3"/>
      <c r="E33" s="3"/>
      <c r="F33"/>
      <c r="G33" s="40"/>
    </row>
    <row r="34" spans="1:7" x14ac:dyDescent="0.45">
      <c r="A34"/>
      <c r="B34" s="3"/>
      <c r="C34"/>
      <c r="D34" s="3"/>
      <c r="E34" s="33"/>
      <c r="F34"/>
      <c r="G34" s="40"/>
    </row>
    <row r="35" spans="1:7" x14ac:dyDescent="0.45">
      <c r="A35" s="3"/>
      <c r="B35" s="3"/>
      <c r="D35" s="3"/>
      <c r="E35" s="40"/>
      <c r="F35"/>
      <c r="G35" s="40"/>
    </row>
    <row r="36" spans="1:7" x14ac:dyDescent="0.45">
      <c r="A36" s="3"/>
      <c r="B36" s="3"/>
      <c r="D36" s="3"/>
      <c r="E36" s="31"/>
      <c r="F36" s="31"/>
    </row>
    <row r="37" spans="1:7" x14ac:dyDescent="0.45">
      <c r="A37" s="3"/>
      <c r="B37" s="3"/>
      <c r="D37" s="3"/>
      <c r="E37" s="31"/>
      <c r="F37" s="31"/>
    </row>
    <row r="38" spans="1:7" x14ac:dyDescent="0.45">
      <c r="A38" s="3"/>
      <c r="B38" s="3"/>
      <c r="D38" s="3"/>
      <c r="E38" s="31"/>
      <c r="F38" s="31"/>
    </row>
    <row r="39" spans="1:7" x14ac:dyDescent="0.45">
      <c r="A39" s="31"/>
      <c r="B39" s="31"/>
      <c r="C39" s="32"/>
      <c r="D39" s="31"/>
      <c r="E39" s="31"/>
      <c r="F39" s="31"/>
    </row>
    <row r="40" spans="1:7" x14ac:dyDescent="0.45">
      <c r="A40" s="31"/>
      <c r="B40" s="31"/>
      <c r="C40" s="32"/>
      <c r="D40" s="31"/>
      <c r="E40" s="31"/>
      <c r="F40" s="31"/>
    </row>
    <row r="41" spans="1:7" x14ac:dyDescent="0.45">
      <c r="A41" s="31"/>
      <c r="B41" s="31"/>
      <c r="C41" s="32"/>
      <c r="D41" s="31"/>
      <c r="E41" s="31"/>
      <c r="F41" s="31"/>
    </row>
    <row r="42" spans="1:7" x14ac:dyDescent="0.45">
      <c r="A42" s="31"/>
      <c r="B42" s="31"/>
      <c r="C42" s="32"/>
      <c r="D42" s="31"/>
      <c r="E42" s="31"/>
      <c r="F42" s="31"/>
    </row>
  </sheetData>
  <mergeCells count="2">
    <mergeCell ref="A1:B1"/>
    <mergeCell ref="A2:B2"/>
  </mergeCells>
  <pageMargins left="0.7" right="0.7" top="0.75" bottom="0.75" header="0.3" footer="0.3"/>
  <pageSetup orientation="portrait" horizontalDpi="4294967295" verticalDpi="4294967295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Vendido</vt:lpstr>
      <vt:lpstr>Resumen</vt:lpstr>
      <vt:lpstr>8501-8530</vt:lpstr>
      <vt:lpstr>51Verdun</vt:lpstr>
      <vt:lpstr>9801-9844</vt:lpstr>
      <vt:lpstr>8562-81212</vt:lpstr>
      <vt:lpstr>41M.L Cumbre</vt:lpstr>
      <vt:lpstr>8561-81207</vt:lpstr>
      <vt:lpstr>Sobran</vt:lpstr>
      <vt:lpstr>8421-8475</vt:lpstr>
      <vt:lpstr>31M.C</vt:lpstr>
      <vt:lpstr>8401-8419</vt:lpstr>
      <vt:lpstr>57M.L</vt:lpstr>
      <vt:lpstr>17NV</vt:lpstr>
      <vt:lpstr>32NV</vt:lpstr>
      <vt:lpstr>15M.L</vt:lpstr>
      <vt:lpstr>Cria20H.L</vt:lpstr>
      <vt:lpstr>9201-9234</vt:lpstr>
      <vt:lpstr>8479-84103</vt:lpstr>
      <vt:lpstr>8615-8675</vt:lpstr>
      <vt:lpstr>9328-9350Carr</vt:lpstr>
      <vt:lpstr>9301-9327</vt:lpstr>
      <vt:lpstr>Cria30ML</vt:lpstr>
      <vt:lpstr>9601-9637</vt:lpstr>
      <vt:lpstr>8613-8654</vt:lpstr>
      <vt:lpstr>20H.L</vt:lpstr>
      <vt:lpstr>9701-9745</vt:lpstr>
      <vt:lpstr>9845-9864</vt:lpstr>
      <vt:lpstr>9901-9921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Eduardo Vallejo</cp:lastModifiedBy>
  <dcterms:created xsi:type="dcterms:W3CDTF">2019-05-04T12:52:32Z</dcterms:created>
  <dcterms:modified xsi:type="dcterms:W3CDTF">2019-12-11T01:05:04Z</dcterms:modified>
</cp:coreProperties>
</file>